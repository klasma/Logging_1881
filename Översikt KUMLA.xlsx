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46220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V2">
        <f>HYPERLINK("https://klasma.github.io/Logging_1881/artfynd/S 421-2021 artfynd.xlsx", "S 421-2021")</f>
        <v/>
      </c>
      <c r="W2">
        <f>HYPERLINK("https://klasma.github.io/Logging_1881/kartor/S 421-2021 karta.png", "S 421-2021")</f>
        <v/>
      </c>
      <c r="Y2">
        <f>HYPERLINK("https://klasma.github.io/Logging_1881/klagomål/S 421-2021 FSC-klagomål.docx", "S 421-2021")</f>
        <v/>
      </c>
      <c r="Z2">
        <f>HYPERLINK("https://klasma.github.io/Logging_1881/klagomålsmail/S 421-2021 FSC-klagomål mail.docx", "S 421-2021")</f>
        <v/>
      </c>
      <c r="AA2">
        <f>HYPERLINK("https://klasma.github.io/Logging_1881/tillsyn/S 421-2021 tillsynsbegäran.docx", "S 421-2021")</f>
        <v/>
      </c>
      <c r="AB2">
        <f>HYPERLINK("https://klasma.github.io/Logging_1881/tillsynsmail/S 421-2021 tillsynsbegäran mail.docx", "S 421-2021")</f>
        <v/>
      </c>
      <c r="AC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46220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s="2" t="inlineStr">
        <is>
          <t>Sexfläckig bastardsvärmare
Svartvit flugsnappare
Sävsparv
Skogsödla</t>
        </is>
      </c>
      <c r="V3">
        <f>HYPERLINK("https://klasma.github.io/Logging_1881/artfynd/A 54112-2022 artfynd.xlsx", "A 54112-2022")</f>
        <v/>
      </c>
      <c r="W3">
        <f>HYPERLINK("https://klasma.github.io/Logging_1881/kartor/A 54112-2022 karta.png", "A 54112-2022")</f>
        <v/>
      </c>
      <c r="Y3">
        <f>HYPERLINK("https://klasma.github.io/Logging_1881/klagomål/A 54112-2022 FSC-klagomål.docx", "A 54112-2022")</f>
        <v/>
      </c>
      <c r="Z3">
        <f>HYPERLINK("https://klasma.github.io/Logging_1881/klagomålsmail/A 54112-2022 FSC-klagomål mail.docx", "A 54112-2022")</f>
        <v/>
      </c>
      <c r="AA3">
        <f>HYPERLINK("https://klasma.github.io/Logging_1881/tillsyn/A 54112-2022 tillsynsbegäran.docx", "A 54112-2022")</f>
        <v/>
      </c>
      <c r="AB3">
        <f>HYPERLINK("https://klasma.github.io/Logging_1881/tillsynsmail/A 54112-2022 tillsynsbegäran mail.docx", "A 54112-2022")</f>
        <v/>
      </c>
      <c r="AC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46220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s="2" t="inlineStr">
        <is>
          <t>Grönsångare
Gröngöling
Törnskata</t>
        </is>
      </c>
      <c r="V4">
        <f>HYPERLINK("https://klasma.github.io/Logging_1881/artfynd/A 55286-2024 artfynd.xlsx", "A 55286-2024")</f>
        <v/>
      </c>
      <c r="W4">
        <f>HYPERLINK("https://klasma.github.io/Logging_1881/kartor/A 55286-2024 karta.png", "A 55286-2024")</f>
        <v/>
      </c>
      <c r="Y4">
        <f>HYPERLINK("https://klasma.github.io/Logging_1881/klagomål/A 55286-2024 FSC-klagomål.docx", "A 55286-2024")</f>
        <v/>
      </c>
      <c r="Z4">
        <f>HYPERLINK("https://klasma.github.io/Logging_1881/klagomålsmail/A 55286-2024 FSC-klagomål mail.docx", "A 55286-2024")</f>
        <v/>
      </c>
      <c r="AA4">
        <f>HYPERLINK("https://klasma.github.io/Logging_1881/tillsyn/A 55286-2024 tillsynsbegäran.docx", "A 55286-2024")</f>
        <v/>
      </c>
      <c r="AB4">
        <f>HYPERLINK("https://klasma.github.io/Logging_1881/tillsynsmail/A 55286-2024 tillsynsbegäran mail.docx", "A 55286-2024")</f>
        <v/>
      </c>
      <c r="AC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46220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s="2" t="inlineStr">
        <is>
          <t>Åkerkål</t>
        </is>
      </c>
      <c r="V5">
        <f>HYPERLINK("https://klasma.github.io/Logging_1881/artfynd/A 15615-2025 artfynd.xlsx", "A 15615-2025")</f>
        <v/>
      </c>
      <c r="W5">
        <f>HYPERLINK("https://klasma.github.io/Logging_1881/kartor/A 15615-2025 karta.png", "A 15615-2025")</f>
        <v/>
      </c>
      <c r="Y5">
        <f>HYPERLINK("https://klasma.github.io/Logging_1881/klagomål/A 15615-2025 FSC-klagomål.docx", "A 15615-2025")</f>
        <v/>
      </c>
      <c r="Z5">
        <f>HYPERLINK("https://klasma.github.io/Logging_1881/klagomålsmail/A 15615-2025 FSC-klagomål mail.docx", "A 15615-2025")</f>
        <v/>
      </c>
      <c r="AA5">
        <f>HYPERLINK("https://klasma.github.io/Logging_1881/tillsyn/A 15615-2025 tillsynsbegäran.docx", "A 15615-2025")</f>
        <v/>
      </c>
      <c r="AB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46220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46220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46220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46220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46220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46220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46220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46220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46220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23648-2024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45454</v>
      </c>
      <c r="E15" s="1" t="n">
        <v>46220</v>
      </c>
      <c r="F15" t="inlineStr">
        <is>
          <t>ÖREBRO LÄN</t>
        </is>
      </c>
      <c r="G15" t="inlineStr">
        <is>
          <t>KUMLA</t>
        </is>
      </c>
      <c r="H15" t="inlineStr">
        <is>
          <t>Kommuner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57949-2024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45631</v>
      </c>
      <c r="E16" s="1" t="n">
        <v>46220</v>
      </c>
      <c r="F16" t="inlineStr">
        <is>
          <t>ÖREBRO LÄN</t>
        </is>
      </c>
      <c r="G16" t="inlineStr">
        <is>
          <t>KUMLA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52192-2024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45608</v>
      </c>
      <c r="E17" s="1" t="n">
        <v>46220</v>
      </c>
      <c r="F17" t="inlineStr">
        <is>
          <t>ÖREBRO LÄN</t>
        </is>
      </c>
      <c r="G17" t="inlineStr">
        <is>
          <t>KUMLA</t>
        </is>
      </c>
      <c r="I17" t="n">
        <v>14.7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52180-2024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45608</v>
      </c>
      <c r="E18" s="1" t="n">
        <v>46220</v>
      </c>
      <c r="F18" t="inlineStr">
        <is>
          <t>ÖREBRO LÄN</t>
        </is>
      </c>
      <c r="G18" t="inlineStr">
        <is>
          <t>KUMLA</t>
        </is>
      </c>
      <c r="I18" t="n">
        <v>3.3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6266-2025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45698</v>
      </c>
      <c r="E19" s="1" t="n">
        <v>46220</v>
      </c>
      <c r="F19" t="inlineStr">
        <is>
          <t>ÖREBRO LÄN</t>
        </is>
      </c>
      <c r="G19" t="inlineStr">
        <is>
          <t>KUMLA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57944-2024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45631</v>
      </c>
      <c r="E20" s="1" t="n">
        <v>46220</v>
      </c>
      <c r="F20" t="inlineStr">
        <is>
          <t>ÖREBRO LÄN</t>
        </is>
      </c>
      <c r="G20" t="inlineStr">
        <is>
          <t>KUMLA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601-2026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46023</v>
      </c>
      <c r="E21" s="1" t="n">
        <v>46220</v>
      </c>
      <c r="F21" t="inlineStr">
        <is>
          <t>ÖREBRO LÄN</t>
        </is>
      </c>
      <c r="G21" t="inlineStr">
        <is>
          <t>KUMLA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55442-2022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44887</v>
      </c>
      <c r="E22" s="1" t="n">
        <v>46220</v>
      </c>
      <c r="F22" t="inlineStr">
        <is>
          <t>ÖREBRO LÄN</t>
        </is>
      </c>
      <c r="G22" t="inlineStr">
        <is>
          <t>KUMLA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23225-2025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45791</v>
      </c>
      <c r="E23" s="1" t="n">
        <v>46220</v>
      </c>
      <c r="F23" t="inlineStr">
        <is>
          <t>ÖREBRO LÄN</t>
        </is>
      </c>
      <c r="G23" t="inlineStr">
        <is>
          <t>KUMLA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40042-2023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45167</v>
      </c>
      <c r="E24" s="1" t="n">
        <v>46220</v>
      </c>
      <c r="F24" t="inlineStr">
        <is>
          <t>ÖREBRO LÄN</t>
        </is>
      </c>
      <c r="G24" t="inlineStr">
        <is>
          <t>KUMLA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8612-2023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44977</v>
      </c>
      <c r="E25" s="1" t="n">
        <v>46220</v>
      </c>
      <c r="F25" t="inlineStr">
        <is>
          <t>ÖREBRO LÄN</t>
        </is>
      </c>
      <c r="G25" t="inlineStr">
        <is>
          <t>KUMLA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40974-2021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44421</v>
      </c>
      <c r="E26" s="1" t="n">
        <v>46220</v>
      </c>
      <c r="F26" t="inlineStr">
        <is>
          <t>ÖREBRO LÄN</t>
        </is>
      </c>
      <c r="G26" t="inlineStr">
        <is>
          <t>KUMLA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43706-2022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44837</v>
      </c>
      <c r="E27" s="1" t="n">
        <v>46220</v>
      </c>
      <c r="F27" t="inlineStr">
        <is>
          <t>ÖREBRO LÄN</t>
        </is>
      </c>
      <c r="G27" t="inlineStr">
        <is>
          <t>KUMLA</t>
        </is>
      </c>
      <c r="I27" t="n">
        <v>3.7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30465-2025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46220</v>
      </c>
      <c r="F28" t="inlineStr">
        <is>
          <t>ÖREBRO LÄN</t>
        </is>
      </c>
      <c r="G28" t="inlineStr">
        <is>
          <t>KUMLA</t>
        </is>
      </c>
      <c r="I28" t="n">
        <v>18.7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30466-2025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46220</v>
      </c>
      <c r="F29" t="inlineStr">
        <is>
          <t>ÖREBRO LÄN</t>
        </is>
      </c>
      <c r="G29" t="inlineStr">
        <is>
          <t>KUMLA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30806-2024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45497</v>
      </c>
      <c r="E30" s="1" t="n">
        <v>46220</v>
      </c>
      <c r="F30" t="inlineStr">
        <is>
          <t>ÖREBRO LÄN</t>
        </is>
      </c>
      <c r="G30" t="inlineStr">
        <is>
          <t>KUMLA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51940-2024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45607</v>
      </c>
      <c r="E31" s="1" t="n">
        <v>46220</v>
      </c>
      <c r="F31" t="inlineStr">
        <is>
          <t>ÖREBRO LÄN</t>
        </is>
      </c>
      <c r="G31" t="inlineStr">
        <is>
          <t>KUMLA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54080-2024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45616</v>
      </c>
      <c r="E32" s="1" t="n">
        <v>46220</v>
      </c>
      <c r="F32" t="inlineStr">
        <is>
          <t>ÖREBRO LÄN</t>
        </is>
      </c>
      <c r="G32" t="inlineStr">
        <is>
          <t>KUMLA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55208-2023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45237</v>
      </c>
      <c r="E33" s="1" t="n">
        <v>46220</v>
      </c>
      <c r="F33" t="inlineStr">
        <is>
          <t>ÖREBRO LÄN</t>
        </is>
      </c>
      <c r="G33" t="inlineStr">
        <is>
          <t>KUMLA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3872-2023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44951</v>
      </c>
      <c r="E34" s="1" t="n">
        <v>46220</v>
      </c>
      <c r="F34" t="inlineStr">
        <is>
          <t>ÖREBRO LÄN</t>
        </is>
      </c>
      <c r="G34" t="inlineStr">
        <is>
          <t>KUMLA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7270-2026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46058</v>
      </c>
      <c r="E35" s="1" t="n">
        <v>46220</v>
      </c>
      <c r="F35" t="inlineStr">
        <is>
          <t>ÖREBRO LÄN</t>
        </is>
      </c>
      <c r="G35" t="inlineStr">
        <is>
          <t>KUMLA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7272-2026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46058</v>
      </c>
      <c r="E36" s="1" t="n">
        <v>46220</v>
      </c>
      <c r="F36" t="inlineStr">
        <is>
          <t>ÖREBRO LÄN</t>
        </is>
      </c>
      <c r="G36" t="inlineStr">
        <is>
          <t>KUMLA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8687-2023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46220</v>
      </c>
      <c r="F37" t="inlineStr">
        <is>
          <t>ÖREBRO LÄN</t>
        </is>
      </c>
      <c r="G37" t="inlineStr">
        <is>
          <t>KUMLA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38615-2024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45546</v>
      </c>
      <c r="E38" s="1" t="n">
        <v>46220</v>
      </c>
      <c r="F38" t="inlineStr">
        <is>
          <t>ÖREBRO LÄN</t>
        </is>
      </c>
      <c r="G38" t="inlineStr">
        <is>
          <t>KUMLA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8852-2023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44978</v>
      </c>
      <c r="E39" s="1" t="n">
        <v>46220</v>
      </c>
      <c r="F39" t="inlineStr">
        <is>
          <t>ÖREBRO LÄN</t>
        </is>
      </c>
      <c r="G39" t="inlineStr">
        <is>
          <t>KUMLA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40897-2023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45173</v>
      </c>
      <c r="E40" s="1" t="n">
        <v>46220</v>
      </c>
      <c r="F40" t="inlineStr">
        <is>
          <t>ÖREBRO LÄN</t>
        </is>
      </c>
      <c r="G40" t="inlineStr">
        <is>
          <t>KUMLA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38193-2024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46220</v>
      </c>
      <c r="F41" t="inlineStr">
        <is>
          <t>ÖREBRO LÄN</t>
        </is>
      </c>
      <c r="G41" t="inlineStr">
        <is>
          <t>KUMLA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3873-2023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44951</v>
      </c>
      <c r="E42" s="1" t="n">
        <v>46220</v>
      </c>
      <c r="F42" t="inlineStr">
        <is>
          <t>ÖREBRO LÄN</t>
        </is>
      </c>
      <c r="G42" t="inlineStr">
        <is>
          <t>KUMLA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11683-2026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46084</v>
      </c>
      <c r="E43" s="1" t="n">
        <v>46220</v>
      </c>
      <c r="F43" t="inlineStr">
        <is>
          <t>ÖREBRO LÄN</t>
        </is>
      </c>
      <c r="G43" t="inlineStr">
        <is>
          <t>KUMLA</t>
        </is>
      </c>
      <c r="H43" t="inlineStr">
        <is>
          <t>Kommuner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21921-2023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46220</v>
      </c>
      <c r="F44" t="inlineStr">
        <is>
          <t>ÖREBRO LÄN</t>
        </is>
      </c>
      <c r="G44" t="inlineStr">
        <is>
          <t>KUMLA</t>
        </is>
      </c>
      <c r="I44" t="n">
        <v>5.7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29680-2023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45098</v>
      </c>
      <c r="E45" s="1" t="n">
        <v>46220</v>
      </c>
      <c r="F45" t="inlineStr">
        <is>
          <t>ÖREBRO LÄN</t>
        </is>
      </c>
      <c r="G45" t="inlineStr">
        <is>
          <t>KUMLA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16132-2023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45027</v>
      </c>
      <c r="E46" s="1" t="n">
        <v>46220</v>
      </c>
      <c r="F46" t="inlineStr">
        <is>
          <t>ÖREBRO LÄN</t>
        </is>
      </c>
      <c r="G46" t="inlineStr">
        <is>
          <t>KUMLA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45658</v>
      </c>
      <c r="E47" s="1" t="n">
        <v>46220</v>
      </c>
      <c r="F47" t="inlineStr">
        <is>
          <t>ÖREBRO LÄN</t>
        </is>
      </c>
      <c r="G47" t="inlineStr">
        <is>
          <t>KUMLA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6315-2024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46220</v>
      </c>
      <c r="F48" t="inlineStr">
        <is>
          <t>ÖREBRO LÄN</t>
        </is>
      </c>
      <c r="G48" t="inlineStr">
        <is>
          <t>KUMLA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45314</v>
      </c>
      <c r="E49" s="1" t="n">
        <v>46220</v>
      </c>
      <c r="F49" t="inlineStr">
        <is>
          <t>ÖREBRO LÄN</t>
        </is>
      </c>
      <c r="G49" t="inlineStr">
        <is>
          <t>KUMLA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56712-2024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46220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15781-2024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45404</v>
      </c>
      <c r="E51" s="1" t="n">
        <v>46220</v>
      </c>
      <c r="F51" t="inlineStr">
        <is>
          <t>ÖREBRO LÄN</t>
        </is>
      </c>
      <c r="G51" t="inlineStr">
        <is>
          <t>KUMLA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8460-2023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44977</v>
      </c>
      <c r="E52" s="1" t="n">
        <v>46220</v>
      </c>
      <c r="F52" t="inlineStr">
        <is>
          <t>ÖREBRO LÄN</t>
        </is>
      </c>
      <c r="G52" t="inlineStr">
        <is>
          <t>KUMLA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56730-2024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46220</v>
      </c>
      <c r="F53" t="inlineStr">
        <is>
          <t>ÖREBRO LÄN</t>
        </is>
      </c>
      <c r="G53" t="inlineStr">
        <is>
          <t>KUMLA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11141-2023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46220</v>
      </c>
      <c r="F54" t="inlineStr">
        <is>
          <t>ÖREBRO LÄN</t>
        </is>
      </c>
      <c r="G54" t="inlineStr">
        <is>
          <t>KUMLA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32725-2022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46220</v>
      </c>
      <c r="F55" t="inlineStr">
        <is>
          <t>ÖREBRO LÄN</t>
        </is>
      </c>
      <c r="G55" t="inlineStr">
        <is>
          <t>KUMLA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45295</v>
      </c>
      <c r="E56" s="1" t="n">
        <v>46220</v>
      </c>
      <c r="F56" t="inlineStr">
        <is>
          <t>ÖREBRO LÄN</t>
        </is>
      </c>
      <c r="G56" t="inlineStr">
        <is>
          <t>KUMLA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43661-2023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45187</v>
      </c>
      <c r="E57" s="1" t="n">
        <v>46220</v>
      </c>
      <c r="F57" t="inlineStr">
        <is>
          <t>ÖREBRO LÄN</t>
        </is>
      </c>
      <c r="G57" t="inlineStr">
        <is>
          <t>KUMLA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38768-2022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46220</v>
      </c>
      <c r="F58" t="inlineStr">
        <is>
          <t>ÖREBRO LÄN</t>
        </is>
      </c>
      <c r="G58" t="inlineStr">
        <is>
          <t>KUMLA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17920-2025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45758</v>
      </c>
      <c r="E59" s="1" t="n">
        <v>46220</v>
      </c>
      <c r="F59" t="inlineStr">
        <is>
          <t>ÖREBRO LÄN</t>
        </is>
      </c>
      <c r="G59" t="inlineStr">
        <is>
          <t>KUMLA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3920-2024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46220</v>
      </c>
      <c r="F60" t="inlineStr">
        <is>
          <t>ÖREBRO LÄN</t>
        </is>
      </c>
      <c r="G60" t="inlineStr">
        <is>
          <t>KUMLA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36237-2024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45534</v>
      </c>
      <c r="E61" s="1" t="n">
        <v>46220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51239-2023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46220</v>
      </c>
      <c r="F62" t="inlineStr">
        <is>
          <t>ÖREBRO LÄN</t>
        </is>
      </c>
      <c r="G62" t="inlineStr">
        <is>
          <t>KUMLA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27541-2026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46220</v>
      </c>
      <c r="F63" t="inlineStr">
        <is>
          <t>ÖREBRO LÄN</t>
        </is>
      </c>
      <c r="G63" t="inlineStr">
        <is>
          <t>KUMLA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4100-2025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45684</v>
      </c>
      <c r="E64" s="1" t="n">
        <v>46220</v>
      </c>
      <c r="F64" t="inlineStr">
        <is>
          <t>ÖREBRO LÄN</t>
        </is>
      </c>
      <c r="G64" t="inlineStr">
        <is>
          <t>KUMLA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22339-2026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46151</v>
      </c>
      <c r="E65" s="1" t="n">
        <v>46220</v>
      </c>
      <c r="F65" t="inlineStr">
        <is>
          <t>ÖREBRO LÄN</t>
        </is>
      </c>
      <c r="G65" t="inlineStr">
        <is>
          <t>KUMLA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45684</v>
      </c>
      <c r="E66" s="1" t="n">
        <v>46220</v>
      </c>
      <c r="F66" t="inlineStr">
        <is>
          <t>ÖREBRO LÄN</t>
        </is>
      </c>
      <c r="G66" t="inlineStr">
        <is>
          <t>KUMLA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5781-2022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46220</v>
      </c>
      <c r="F67" t="inlineStr">
        <is>
          <t>ÖREBRO LÄN</t>
        </is>
      </c>
      <c r="G67" t="inlineStr">
        <is>
          <t>KUMLA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55340-2024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45621</v>
      </c>
      <c r="E68" s="1" t="n">
        <v>46220</v>
      </c>
      <c r="F68" t="inlineStr">
        <is>
          <t>ÖREBRO LÄN</t>
        </is>
      </c>
      <c r="G68" t="inlineStr">
        <is>
          <t>KUMLA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29930-2026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46220</v>
      </c>
      <c r="F69" t="inlineStr">
        <is>
          <t>ÖREBRO LÄN</t>
        </is>
      </c>
      <c r="G69" t="inlineStr">
        <is>
          <t>KUMLA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15356-2023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45019</v>
      </c>
      <c r="E70" s="1" t="n">
        <v>46220</v>
      </c>
      <c r="F70" t="inlineStr">
        <is>
          <t>ÖREBRO LÄN</t>
        </is>
      </c>
      <c r="G70" t="inlineStr">
        <is>
          <t>KUMLA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32859-2022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46220</v>
      </c>
      <c r="F71" t="inlineStr">
        <is>
          <t>ÖREBRO LÄN</t>
        </is>
      </c>
      <c r="G71" t="inlineStr">
        <is>
          <t>KUMLA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40275-2024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46220</v>
      </c>
      <c r="F72" t="inlineStr">
        <is>
          <t>ÖREBRO LÄN</t>
        </is>
      </c>
      <c r="G72" t="inlineStr">
        <is>
          <t>KUMLA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30477-2026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46210</v>
      </c>
      <c r="E73" s="1" t="n">
        <v>46220</v>
      </c>
      <c r="F73" t="inlineStr">
        <is>
          <t>ÖREBRO LÄN</t>
        </is>
      </c>
      <c r="G73" t="inlineStr">
        <is>
          <t>KUMLA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30475-2026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46220</v>
      </c>
      <c r="F74" t="inlineStr">
        <is>
          <t>ÖREBRO LÄN</t>
        </is>
      </c>
      <c r="G74" t="inlineStr">
        <is>
          <t>KUMLA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30478-2026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46210</v>
      </c>
      <c r="E75" s="1" t="n">
        <v>46220</v>
      </c>
      <c r="F75" t="inlineStr">
        <is>
          <t>ÖREBRO LÄN</t>
        </is>
      </c>
      <c r="G75" t="inlineStr">
        <is>
          <t>KUMLA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38343-2024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45545</v>
      </c>
      <c r="E76" s="1" t="n">
        <v>46220</v>
      </c>
      <c r="F76" t="inlineStr">
        <is>
          <t>ÖREBRO LÄN</t>
        </is>
      </c>
      <c r="G76" t="inlineStr">
        <is>
          <t>KUMLA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1478-2023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46220</v>
      </c>
      <c r="F77" t="inlineStr">
        <is>
          <t>ÖREBRO LÄN</t>
        </is>
      </c>
      <c r="G77" t="inlineStr">
        <is>
          <t>KUMLA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65076-2023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45287</v>
      </c>
      <c r="E78" s="1" t="n">
        <v>46220</v>
      </c>
      <c r="F78" t="inlineStr">
        <is>
          <t>ÖREBRO LÄN</t>
        </is>
      </c>
      <c r="G78" t="inlineStr">
        <is>
          <t>KUMLA</t>
        </is>
      </c>
      <c r="H78" t="inlineStr">
        <is>
          <t>Kommuner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54080-2023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45225</v>
      </c>
      <c r="E79" s="1" t="n">
        <v>46220</v>
      </c>
      <c r="F79" t="inlineStr">
        <is>
          <t>ÖREBRO LÄN</t>
        </is>
      </c>
      <c r="G79" t="inlineStr">
        <is>
          <t>KUMLA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31294-2026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46218</v>
      </c>
      <c r="E80" s="1" t="n">
        <v>46220</v>
      </c>
      <c r="F80" t="inlineStr">
        <is>
          <t>ÖREBRO LÄN</t>
        </is>
      </c>
      <c r="G80" t="inlineStr">
        <is>
          <t>KUMLA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38335-2024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45545</v>
      </c>
      <c r="E81" s="1" t="n">
        <v>46220</v>
      </c>
      <c r="F81" t="inlineStr">
        <is>
          <t>ÖREBRO LÄN</t>
        </is>
      </c>
      <c r="G81" t="inlineStr">
        <is>
          <t>KUMLA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38871-2024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45547</v>
      </c>
      <c r="E82" s="1" t="n">
        <v>46220</v>
      </c>
      <c r="F82" t="inlineStr">
        <is>
          <t>ÖREBRO LÄN</t>
        </is>
      </c>
      <c r="G82" t="inlineStr">
        <is>
          <t>KUMLA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>
      <c r="A83" t="inlineStr">
        <is>
          <t>A 58657-2024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45632</v>
      </c>
      <c r="E83" s="1" t="n">
        <v>46220</v>
      </c>
      <c r="F83" t="inlineStr">
        <is>
          <t>ÖREBRO LÄN</t>
        </is>
      </c>
      <c r="G83" t="inlineStr">
        <is>
          <t>KUMLA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2026-07-17T01:42:53Z</dcterms:created>
  <dcterms:modified xmlns:dcterms="http://purl.org/dc/terms/" xmlns:xsi="http://www.w3.org/2001/XMLSchema-instance" xsi:type="dcterms:W3CDTF">2026-07-17T01:42:53Z</dcterms:modified>
</cp:coreProperties>
</file>
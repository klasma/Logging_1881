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73775-2021</t>
        </is>
      </c>
      <c r="B2" s="1" t="n">
        <v>44552</v>
      </c>
      <c r="C2" s="1" t="n">
        <v>45850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7.7</v>
      </c>
      <c r="H2" t="n">
        <v>3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Entita
Grönsångare
Mindre hackspett
Tibast</t>
        </is>
      </c>
      <c r="S2">
        <f>HYPERLINK("https://klasma.github.io/Logging_1881/artfynd/A 73775-2021 artfynd.xlsx", "A 73775-2021")</f>
        <v/>
      </c>
      <c r="T2">
        <f>HYPERLINK("https://klasma.github.io/Logging_1881/kartor/A 73775-2021 karta.png", "A 73775-2021")</f>
        <v/>
      </c>
      <c r="V2">
        <f>HYPERLINK("https://klasma.github.io/Logging_1881/klagomål/A 73775-2021 FSC-klagomål.docx", "A 73775-2021")</f>
        <v/>
      </c>
      <c r="W2">
        <f>HYPERLINK("https://klasma.github.io/Logging_1881/klagomålsmail/A 73775-2021 FSC-klagomål mail.docx", "A 73775-2021")</f>
        <v/>
      </c>
      <c r="X2">
        <f>HYPERLINK("https://klasma.github.io/Logging_1881/tillsyn/A 73775-2021 tillsynsbegäran.docx", "A 73775-2021")</f>
        <v/>
      </c>
      <c r="Y2">
        <f>HYPERLINK("https://klasma.github.io/Logging_1881/tillsynsmail/A 73775-2021 tillsynsbegäran mail.docx", "A 73775-2021")</f>
        <v/>
      </c>
      <c r="Z2">
        <f>HYPERLINK("https://klasma.github.io/Logging_1881/fåglar/A 73775-2021 prioriterade fågelarter.docx", "A 73775-2021")</f>
        <v/>
      </c>
    </row>
    <row r="3" ht="15" customHeight="1">
      <c r="A3" t="inlineStr">
        <is>
          <t>A 54112-2022</t>
        </is>
      </c>
      <c r="B3" s="1" t="n">
        <v>44879</v>
      </c>
      <c r="C3" s="1" t="n">
        <v>45850</v>
      </c>
      <c r="D3" t="inlineStr">
        <is>
          <t>ÖREBRO LÄN</t>
        </is>
      </c>
      <c r="E3" t="inlineStr">
        <is>
          <t>KUMLA</t>
        </is>
      </c>
      <c r="F3" t="inlineStr">
        <is>
          <t>Kommuner</t>
        </is>
      </c>
      <c r="G3" t="n">
        <v>2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Svartvit flugsnappare
Sävsparv
Skogsödla</t>
        </is>
      </c>
      <c r="S3">
        <f>HYPERLINK("https://klasma.github.io/Logging_1881/artfynd/A 54112-2022 artfynd.xlsx", "A 54112-2022")</f>
        <v/>
      </c>
      <c r="T3">
        <f>HYPERLINK("https://klasma.github.io/Logging_1881/kartor/A 54112-2022 karta.png", "A 54112-2022")</f>
        <v/>
      </c>
      <c r="V3">
        <f>HYPERLINK("https://klasma.github.io/Logging_1881/klagomål/A 54112-2022 FSC-klagomål.docx", "A 54112-2022")</f>
        <v/>
      </c>
      <c r="W3">
        <f>HYPERLINK("https://klasma.github.io/Logging_1881/klagomålsmail/A 54112-2022 FSC-klagomål mail.docx", "A 54112-2022")</f>
        <v/>
      </c>
      <c r="X3">
        <f>HYPERLINK("https://klasma.github.io/Logging_1881/tillsyn/A 54112-2022 tillsynsbegäran.docx", "A 54112-2022")</f>
        <v/>
      </c>
      <c r="Y3">
        <f>HYPERLINK("https://klasma.github.io/Logging_1881/tillsynsmail/A 54112-2022 tillsynsbegäran mail.docx", "A 54112-2022")</f>
        <v/>
      </c>
      <c r="Z3">
        <f>HYPERLINK("https://klasma.github.io/Logging_1881/fåglar/A 54112-2022 prioriterade fågelarter.docx", "A 54112-2022")</f>
        <v/>
      </c>
    </row>
    <row r="4" ht="15" customHeight="1">
      <c r="A4" t="inlineStr">
        <is>
          <t>A 54373-2022</t>
        </is>
      </c>
      <c r="B4" s="1" t="n">
        <v>44879</v>
      </c>
      <c r="C4" s="1" t="n">
        <v>45850</v>
      </c>
      <c r="D4" t="inlineStr">
        <is>
          <t>ÖREBRO LÄN</t>
        </is>
      </c>
      <c r="E4" t="inlineStr">
        <is>
          <t>KUMLA</t>
        </is>
      </c>
      <c r="F4" t="inlineStr">
        <is>
          <t>Kommuner</t>
        </is>
      </c>
      <c r="G4" t="n">
        <v>0.6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Ruttaggsvamp
Blå taggsvamp
Gullviva</t>
        </is>
      </c>
      <c r="S4">
        <f>HYPERLINK("https://klasma.github.io/Logging_1881/artfynd/A 54373-2022 artfynd.xlsx", "A 54373-2022")</f>
        <v/>
      </c>
      <c r="T4">
        <f>HYPERLINK("https://klasma.github.io/Logging_1881/kartor/A 54373-2022 karta.png", "A 54373-2022")</f>
        <v/>
      </c>
      <c r="V4">
        <f>HYPERLINK("https://klasma.github.io/Logging_1881/klagomål/A 54373-2022 FSC-klagomål.docx", "A 54373-2022")</f>
        <v/>
      </c>
      <c r="W4">
        <f>HYPERLINK("https://klasma.github.io/Logging_1881/klagomålsmail/A 54373-2022 FSC-klagomål mail.docx", "A 54373-2022")</f>
        <v/>
      </c>
      <c r="X4">
        <f>HYPERLINK("https://klasma.github.io/Logging_1881/tillsyn/A 54373-2022 tillsynsbegäran.docx", "A 54373-2022")</f>
        <v/>
      </c>
      <c r="Y4">
        <f>HYPERLINK("https://klasma.github.io/Logging_1881/tillsynsmail/A 54373-2022 tillsynsbegäran mail.docx", "A 54373-2022")</f>
        <v/>
      </c>
    </row>
    <row r="5" ht="15" customHeight="1">
      <c r="A5" t="inlineStr">
        <is>
          <t>A 31052-2020</t>
        </is>
      </c>
      <c r="B5" s="1" t="n">
        <v>44008</v>
      </c>
      <c r="C5" s="1" t="n">
        <v>45850</v>
      </c>
      <c r="D5" t="inlineStr">
        <is>
          <t>ÖREBRO LÄN</t>
        </is>
      </c>
      <c r="E5" t="inlineStr">
        <is>
          <t>KUMLA</t>
        </is>
      </c>
      <c r="F5" t="inlineStr">
        <is>
          <t>Kommuner</t>
        </is>
      </c>
      <c r="G5" t="n">
        <v>5.5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Dånvivel</t>
        </is>
      </c>
      <c r="S5">
        <f>HYPERLINK("https://klasma.github.io/Logging_1881/artfynd/A 31052-2020 artfynd.xlsx", "A 31052-2020")</f>
        <v/>
      </c>
      <c r="T5">
        <f>HYPERLINK("https://klasma.github.io/Logging_1881/kartor/A 31052-2020 karta.png", "A 31052-2020")</f>
        <v/>
      </c>
      <c r="V5">
        <f>HYPERLINK("https://klasma.github.io/Logging_1881/klagomål/A 31052-2020 FSC-klagomål.docx", "A 31052-2020")</f>
        <v/>
      </c>
      <c r="W5">
        <f>HYPERLINK("https://klasma.github.io/Logging_1881/klagomålsmail/A 31052-2020 FSC-klagomål mail.docx", "A 31052-2020")</f>
        <v/>
      </c>
      <c r="X5">
        <f>HYPERLINK("https://klasma.github.io/Logging_1881/tillsyn/A 31052-2020 tillsynsbegäran.docx", "A 31052-2020")</f>
        <v/>
      </c>
      <c r="Y5">
        <f>HYPERLINK("https://klasma.github.io/Logging_1881/tillsynsmail/A 31052-2020 tillsynsbegäran mail.docx", "A 31052-2020")</f>
        <v/>
      </c>
    </row>
    <row r="6" ht="15" customHeight="1">
      <c r="A6" t="inlineStr">
        <is>
          <t>A 7102-2023</t>
        </is>
      </c>
      <c r="B6" s="1" t="n">
        <v>44970</v>
      </c>
      <c r="C6" s="1" t="n">
        <v>45850</v>
      </c>
      <c r="D6" t="inlineStr">
        <is>
          <t>ÖREBRO LÄN</t>
        </is>
      </c>
      <c r="E6" t="inlineStr">
        <is>
          <t>KUMLA</t>
        </is>
      </c>
      <c r="G6" t="n">
        <v>0.8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Grönsångare</t>
        </is>
      </c>
      <c r="S6">
        <f>HYPERLINK("https://klasma.github.io/Logging_1881/artfynd/A 7102-2023 artfynd.xlsx", "A 7102-2023")</f>
        <v/>
      </c>
      <c r="T6">
        <f>HYPERLINK("https://klasma.github.io/Logging_1881/kartor/A 7102-2023 karta.png", "A 7102-2023")</f>
        <v/>
      </c>
      <c r="V6">
        <f>HYPERLINK("https://klasma.github.io/Logging_1881/klagomål/A 7102-2023 FSC-klagomål.docx", "A 7102-2023")</f>
        <v/>
      </c>
      <c r="W6">
        <f>HYPERLINK("https://klasma.github.io/Logging_1881/klagomålsmail/A 7102-2023 FSC-klagomål mail.docx", "A 7102-2023")</f>
        <v/>
      </c>
      <c r="X6">
        <f>HYPERLINK("https://klasma.github.io/Logging_1881/tillsyn/A 7102-2023 tillsynsbegäran.docx", "A 7102-2023")</f>
        <v/>
      </c>
      <c r="Y6">
        <f>HYPERLINK("https://klasma.github.io/Logging_1881/tillsynsmail/A 7102-2023 tillsynsbegäran mail.docx", "A 7102-2023")</f>
        <v/>
      </c>
      <c r="Z6">
        <f>HYPERLINK("https://klasma.github.io/Logging_1881/fåglar/A 7102-2023 prioriterade fågelarter.docx", "A 7102-2023")</f>
        <v/>
      </c>
    </row>
    <row r="7" ht="15" customHeight="1">
      <c r="A7" t="inlineStr">
        <is>
          <t>A 55286-2024</t>
        </is>
      </c>
      <c r="B7" s="1" t="n">
        <v>45621</v>
      </c>
      <c r="C7" s="1" t="n">
        <v>45850</v>
      </c>
      <c r="D7" t="inlineStr">
        <is>
          <t>ÖREBRO LÄN</t>
        </is>
      </c>
      <c r="E7" t="inlineStr">
        <is>
          <t>KUMLA</t>
        </is>
      </c>
      <c r="G7" t="n">
        <v>2.3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Grönsångare</t>
        </is>
      </c>
      <c r="S7">
        <f>HYPERLINK("https://klasma.github.io/Logging_1881/artfynd/A 55286-2024 artfynd.xlsx", "A 55286-2024")</f>
        <v/>
      </c>
      <c r="T7">
        <f>HYPERLINK("https://klasma.github.io/Logging_1881/kartor/A 55286-2024 karta.png", "A 55286-2024")</f>
        <v/>
      </c>
      <c r="V7">
        <f>HYPERLINK("https://klasma.github.io/Logging_1881/klagomål/A 55286-2024 FSC-klagomål.docx", "A 55286-2024")</f>
        <v/>
      </c>
      <c r="W7">
        <f>HYPERLINK("https://klasma.github.io/Logging_1881/klagomålsmail/A 55286-2024 FSC-klagomål mail.docx", "A 55286-2024")</f>
        <v/>
      </c>
      <c r="X7">
        <f>HYPERLINK("https://klasma.github.io/Logging_1881/tillsyn/A 55286-2024 tillsynsbegäran.docx", "A 55286-2024")</f>
        <v/>
      </c>
      <c r="Y7">
        <f>HYPERLINK("https://klasma.github.io/Logging_1881/tillsynsmail/A 55286-2024 tillsynsbegäran mail.docx", "A 55286-2024")</f>
        <v/>
      </c>
      <c r="Z7">
        <f>HYPERLINK("https://klasma.github.io/Logging_1881/fåglar/A 55286-2024 prioriterade fågelarter.docx", "A 55286-2024")</f>
        <v/>
      </c>
    </row>
    <row r="8" ht="15" customHeight="1">
      <c r="A8" t="inlineStr">
        <is>
          <t>A 18123-2019</t>
        </is>
      </c>
      <c r="B8" s="1" t="n">
        <v>43558</v>
      </c>
      <c r="C8" s="1" t="n">
        <v>45850</v>
      </c>
      <c r="D8" t="inlineStr">
        <is>
          <t>ÖREBRO LÄN</t>
        </is>
      </c>
      <c r="E8" t="inlineStr">
        <is>
          <t>KUMLA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22864-2019</t>
        </is>
      </c>
      <c r="B9" s="1" t="n">
        <v>43591</v>
      </c>
      <c r="C9" s="1" t="n">
        <v>45850</v>
      </c>
      <c r="D9" t="inlineStr">
        <is>
          <t>ÖREBRO LÄN</t>
        </is>
      </c>
      <c r="E9" t="inlineStr">
        <is>
          <t>KUMLA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24046-2019</t>
        </is>
      </c>
      <c r="B10" s="1" t="n">
        <v>43598</v>
      </c>
      <c r="C10" s="1" t="n">
        <v>45850</v>
      </c>
      <c r="D10" t="inlineStr">
        <is>
          <t>ÖREBRO LÄN</t>
        </is>
      </c>
      <c r="E10" t="inlineStr">
        <is>
          <t>KUMLA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26802-2019</t>
        </is>
      </c>
      <c r="B11" s="1" t="n">
        <v>43613</v>
      </c>
      <c r="C11" s="1" t="n">
        <v>45850</v>
      </c>
      <c r="D11" t="inlineStr">
        <is>
          <t>ÖREBRO LÄN</t>
        </is>
      </c>
      <c r="E11" t="inlineStr">
        <is>
          <t>KUMLA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34578-2019</t>
        </is>
      </c>
      <c r="B12" s="1" t="n">
        <v>43647</v>
      </c>
      <c r="C12" s="1" t="n">
        <v>45850</v>
      </c>
      <c r="D12" t="inlineStr">
        <is>
          <t>ÖREBRO LÄN</t>
        </is>
      </c>
      <c r="E12" t="inlineStr">
        <is>
          <t>KUMLA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51450-2019</t>
        </is>
      </c>
      <c r="B13" s="1" t="n">
        <v>43733</v>
      </c>
      <c r="C13" s="1" t="n">
        <v>45850</v>
      </c>
      <c r="D13" t="inlineStr">
        <is>
          <t>ÖREBRO LÄN</t>
        </is>
      </c>
      <c r="E13" t="inlineStr">
        <is>
          <t>KUMLA</t>
        </is>
      </c>
      <c r="F13" t="inlineStr">
        <is>
          <t>Kommuner</t>
        </is>
      </c>
      <c r="G13" t="n">
        <v>11.1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53337-2019</t>
        </is>
      </c>
      <c r="B14" s="1" t="n">
        <v>43748</v>
      </c>
      <c r="C14" s="1" t="n">
        <v>45850</v>
      </c>
      <c r="D14" t="inlineStr">
        <is>
          <t>ÖREBRO LÄN</t>
        </is>
      </c>
      <c r="E14" t="inlineStr">
        <is>
          <t>KUMLA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58679-2019</t>
        </is>
      </c>
      <c r="B15" s="1" t="n">
        <v>43767</v>
      </c>
      <c r="C15" s="1" t="n">
        <v>45850</v>
      </c>
      <c r="D15" t="inlineStr">
        <is>
          <t>ÖREBRO LÄN</t>
        </is>
      </c>
      <c r="E15" t="inlineStr">
        <is>
          <t>KUMLA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59958-2019</t>
        </is>
      </c>
      <c r="B16" s="1" t="n">
        <v>43775</v>
      </c>
      <c r="C16" s="1" t="n">
        <v>45850</v>
      </c>
      <c r="D16" t="inlineStr">
        <is>
          <t>ÖREBRO LÄN</t>
        </is>
      </c>
      <c r="E16" t="inlineStr">
        <is>
          <t>KUMLA</t>
        </is>
      </c>
      <c r="G16" t="n">
        <v>7.9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59972-2019</t>
        </is>
      </c>
      <c r="B17" s="1" t="n">
        <v>43777</v>
      </c>
      <c r="C17" s="1" t="n">
        <v>45850</v>
      </c>
      <c r="D17" t="inlineStr">
        <is>
          <t>ÖREBRO LÄN</t>
        </is>
      </c>
      <c r="E17" t="inlineStr">
        <is>
          <t>KUMLA</t>
        </is>
      </c>
      <c r="G17" t="n">
        <v>4.9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61583-2019</t>
        </is>
      </c>
      <c r="B18" s="1" t="n">
        <v>43784</v>
      </c>
      <c r="C18" s="1" t="n">
        <v>45850</v>
      </c>
      <c r="D18" t="inlineStr">
        <is>
          <t>ÖREBRO LÄN</t>
        </is>
      </c>
      <c r="E18" t="inlineStr">
        <is>
          <t>KUMLA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341-2020</t>
        </is>
      </c>
      <c r="B19" s="1" t="n">
        <v>43826</v>
      </c>
      <c r="C19" s="1" t="n">
        <v>45850</v>
      </c>
      <c r="D19" t="inlineStr">
        <is>
          <t>ÖREBRO LÄN</t>
        </is>
      </c>
      <c r="E19" t="inlineStr">
        <is>
          <t>KUMLA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1970-2020</t>
        </is>
      </c>
      <c r="B20" s="1" t="n">
        <v>43838</v>
      </c>
      <c r="C20" s="1" t="n">
        <v>45850</v>
      </c>
      <c r="D20" t="inlineStr">
        <is>
          <t>ÖREBRO LÄN</t>
        </is>
      </c>
      <c r="E20" t="inlineStr">
        <is>
          <t>KUMLA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5575-2020</t>
        </is>
      </c>
      <c r="B21" s="1" t="n">
        <v>43861</v>
      </c>
      <c r="C21" s="1" t="n">
        <v>45850</v>
      </c>
      <c r="D21" t="inlineStr">
        <is>
          <t>ÖREBRO LÄN</t>
        </is>
      </c>
      <c r="E21" t="inlineStr">
        <is>
          <t>KUMLA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5563-2020</t>
        </is>
      </c>
      <c r="B22" s="1" t="n">
        <v>43861</v>
      </c>
      <c r="C22" s="1" t="n">
        <v>45850</v>
      </c>
      <c r="D22" t="inlineStr">
        <is>
          <t>ÖREBRO LÄN</t>
        </is>
      </c>
      <c r="E22" t="inlineStr">
        <is>
          <t>KUMLA</t>
        </is>
      </c>
      <c r="G22" t="n">
        <v>6.2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6663-2020</t>
        </is>
      </c>
      <c r="B23" s="1" t="n">
        <v>43867</v>
      </c>
      <c r="C23" s="1" t="n">
        <v>45850</v>
      </c>
      <c r="D23" t="inlineStr">
        <is>
          <t>ÖREBRO LÄN</t>
        </is>
      </c>
      <c r="E23" t="inlineStr">
        <is>
          <t>KUMLA</t>
        </is>
      </c>
      <c r="G23" t="n">
        <v>8.4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13667-2020</t>
        </is>
      </c>
      <c r="B24" s="1" t="n">
        <v>43903</v>
      </c>
      <c r="C24" s="1" t="n">
        <v>45850</v>
      </c>
      <c r="D24" t="inlineStr">
        <is>
          <t>ÖREBRO LÄN</t>
        </is>
      </c>
      <c r="E24" t="inlineStr">
        <is>
          <t>KUMLA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14935-2020</t>
        </is>
      </c>
      <c r="B25" s="1" t="n">
        <v>43910</v>
      </c>
      <c r="C25" s="1" t="n">
        <v>45850</v>
      </c>
      <c r="D25" t="inlineStr">
        <is>
          <t>ÖREBRO LÄN</t>
        </is>
      </c>
      <c r="E25" t="inlineStr">
        <is>
          <t>KUMLA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31960-2020</t>
        </is>
      </c>
      <c r="B26" s="1" t="n">
        <v>44014</v>
      </c>
      <c r="C26" s="1" t="n">
        <v>45850</v>
      </c>
      <c r="D26" t="inlineStr">
        <is>
          <t>ÖREBRO LÄN</t>
        </is>
      </c>
      <c r="E26" t="inlineStr">
        <is>
          <t>KUMLA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34357-2020</t>
        </is>
      </c>
      <c r="B27" s="1" t="n">
        <v>44032</v>
      </c>
      <c r="C27" s="1" t="n">
        <v>45850</v>
      </c>
      <c r="D27" t="inlineStr">
        <is>
          <t>ÖREBRO LÄN</t>
        </is>
      </c>
      <c r="E27" t="inlineStr">
        <is>
          <t>KUMLA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37062-2020</t>
        </is>
      </c>
      <c r="B28" s="1" t="n">
        <v>44054</v>
      </c>
      <c r="C28" s="1" t="n">
        <v>45850</v>
      </c>
      <c r="D28" t="inlineStr">
        <is>
          <t>ÖREBRO LÄN</t>
        </is>
      </c>
      <c r="E28" t="inlineStr">
        <is>
          <t>KUMLA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42445-2020</t>
        </is>
      </c>
      <c r="B29" s="1" t="n">
        <v>44076</v>
      </c>
      <c r="C29" s="1" t="n">
        <v>45850</v>
      </c>
      <c r="D29" t="inlineStr">
        <is>
          <t>ÖREBRO LÄN</t>
        </is>
      </c>
      <c r="E29" t="inlineStr">
        <is>
          <t>KUMLA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44617-2020</t>
        </is>
      </c>
      <c r="B30" s="1" t="n">
        <v>44085</v>
      </c>
      <c r="C30" s="1" t="n">
        <v>45850</v>
      </c>
      <c r="D30" t="inlineStr">
        <is>
          <t>ÖREBRO LÄN</t>
        </is>
      </c>
      <c r="E30" t="inlineStr">
        <is>
          <t>KUMLA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51599-2020</t>
        </is>
      </c>
      <c r="B31" s="1" t="n">
        <v>44109</v>
      </c>
      <c r="C31" s="1" t="n">
        <v>45850</v>
      </c>
      <c r="D31" t="inlineStr">
        <is>
          <t>ÖREBRO LÄN</t>
        </is>
      </c>
      <c r="E31" t="inlineStr">
        <is>
          <t>KUMLA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51604-2020</t>
        </is>
      </c>
      <c r="B32" s="1" t="n">
        <v>44109</v>
      </c>
      <c r="C32" s="1" t="n">
        <v>45850</v>
      </c>
      <c r="D32" t="inlineStr">
        <is>
          <t>ÖREBRO LÄN</t>
        </is>
      </c>
      <c r="E32" t="inlineStr">
        <is>
          <t>KUMLA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59181-2020</t>
        </is>
      </c>
      <c r="B33" s="1" t="n">
        <v>44147</v>
      </c>
      <c r="C33" s="1" t="n">
        <v>45850</v>
      </c>
      <c r="D33" t="inlineStr">
        <is>
          <t>ÖREBRO LÄN</t>
        </is>
      </c>
      <c r="E33" t="inlineStr">
        <is>
          <t>KUMLA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59191-2020</t>
        </is>
      </c>
      <c r="B34" s="1" t="n">
        <v>44147</v>
      </c>
      <c r="C34" s="1" t="n">
        <v>45850</v>
      </c>
      <c r="D34" t="inlineStr">
        <is>
          <t>ÖREBRO LÄN</t>
        </is>
      </c>
      <c r="E34" t="inlineStr">
        <is>
          <t>KUMLA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59444-2020</t>
        </is>
      </c>
      <c r="B35" s="1" t="n">
        <v>44148</v>
      </c>
      <c r="C35" s="1" t="n">
        <v>45850</v>
      </c>
      <c r="D35" t="inlineStr">
        <is>
          <t>ÖREBRO LÄN</t>
        </is>
      </c>
      <c r="E35" t="inlineStr">
        <is>
          <t>KUMLA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62943-2020</t>
        </is>
      </c>
      <c r="B36" s="1" t="n">
        <v>44161</v>
      </c>
      <c r="C36" s="1" t="n">
        <v>45850</v>
      </c>
      <c r="D36" t="inlineStr">
        <is>
          <t>ÖREBRO LÄN</t>
        </is>
      </c>
      <c r="E36" t="inlineStr">
        <is>
          <t>KUMLA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3915-2021</t>
        </is>
      </c>
      <c r="B37" s="1" t="n">
        <v>44222</v>
      </c>
      <c r="C37" s="1" t="n">
        <v>45850</v>
      </c>
      <c r="D37" t="inlineStr">
        <is>
          <t>ÖREBRO LÄN</t>
        </is>
      </c>
      <c r="E37" t="inlineStr">
        <is>
          <t>KUMLA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6071-2021</t>
        </is>
      </c>
      <c r="B38" s="1" t="n">
        <v>44232</v>
      </c>
      <c r="C38" s="1" t="n">
        <v>45850</v>
      </c>
      <c r="D38" t="inlineStr">
        <is>
          <t>ÖREBRO LÄN</t>
        </is>
      </c>
      <c r="E38" t="inlineStr">
        <is>
          <t>KUMLA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30835-2021</t>
        </is>
      </c>
      <c r="B39" s="1" t="n">
        <v>44365</v>
      </c>
      <c r="C39" s="1" t="n">
        <v>45850</v>
      </c>
      <c r="D39" t="inlineStr">
        <is>
          <t>ÖREBRO LÄN</t>
        </is>
      </c>
      <c r="E39" t="inlineStr">
        <is>
          <t>KUMLA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30864-2021</t>
        </is>
      </c>
      <c r="B40" s="1" t="n">
        <v>44365</v>
      </c>
      <c r="C40" s="1" t="n">
        <v>45850</v>
      </c>
      <c r="D40" t="inlineStr">
        <is>
          <t>ÖREBRO LÄN</t>
        </is>
      </c>
      <c r="E40" t="inlineStr">
        <is>
          <t>KUMLA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40964-2021</t>
        </is>
      </c>
      <c r="B41" s="1" t="n">
        <v>44421</v>
      </c>
      <c r="C41" s="1" t="n">
        <v>45850</v>
      </c>
      <c r="D41" t="inlineStr">
        <is>
          <t>ÖREBRO LÄN</t>
        </is>
      </c>
      <c r="E41" t="inlineStr">
        <is>
          <t>KUMLA</t>
        </is>
      </c>
      <c r="G41" t="n">
        <v>8.800000000000001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40974-2021</t>
        </is>
      </c>
      <c r="B42" s="1" t="n">
        <v>44421</v>
      </c>
      <c r="C42" s="1" t="n">
        <v>45850</v>
      </c>
      <c r="D42" t="inlineStr">
        <is>
          <t>ÖREBRO LÄN</t>
        </is>
      </c>
      <c r="E42" t="inlineStr">
        <is>
          <t>KUMLA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43257-2021</t>
        </is>
      </c>
      <c r="B43" s="1" t="n">
        <v>44432</v>
      </c>
      <c r="C43" s="1" t="n">
        <v>45850</v>
      </c>
      <c r="D43" t="inlineStr">
        <is>
          <t>ÖREBRO LÄN</t>
        </is>
      </c>
      <c r="E43" t="inlineStr">
        <is>
          <t>KUMLA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43262-2021</t>
        </is>
      </c>
      <c r="B44" s="1" t="n">
        <v>44432</v>
      </c>
      <c r="C44" s="1" t="n">
        <v>45850</v>
      </c>
      <c r="D44" t="inlineStr">
        <is>
          <t>ÖREBRO LÄN</t>
        </is>
      </c>
      <c r="E44" t="inlineStr">
        <is>
          <t>KUMLA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45495-2021</t>
        </is>
      </c>
      <c r="B45" s="1" t="n">
        <v>44440</v>
      </c>
      <c r="C45" s="1" t="n">
        <v>45850</v>
      </c>
      <c r="D45" t="inlineStr">
        <is>
          <t>ÖREBRO LÄN</t>
        </is>
      </c>
      <c r="E45" t="inlineStr">
        <is>
          <t>KUMLA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49616-2021</t>
        </is>
      </c>
      <c r="B46" s="1" t="n">
        <v>44455</v>
      </c>
      <c r="C46" s="1" t="n">
        <v>45850</v>
      </c>
      <c r="D46" t="inlineStr">
        <is>
          <t>ÖREBRO LÄN</t>
        </is>
      </c>
      <c r="E46" t="inlineStr">
        <is>
          <t>KUMLA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55146-2021</t>
        </is>
      </c>
      <c r="B47" s="1" t="n">
        <v>44474</v>
      </c>
      <c r="C47" s="1" t="n">
        <v>45850</v>
      </c>
      <c r="D47" t="inlineStr">
        <is>
          <t>ÖREBRO LÄN</t>
        </is>
      </c>
      <c r="E47" t="inlineStr">
        <is>
          <t>KUMLA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55760-2021</t>
        </is>
      </c>
      <c r="B48" s="1" t="n">
        <v>44476</v>
      </c>
      <c r="C48" s="1" t="n">
        <v>45850</v>
      </c>
      <c r="D48" t="inlineStr">
        <is>
          <t>ÖREBRO LÄN</t>
        </is>
      </c>
      <c r="E48" t="inlineStr">
        <is>
          <t>KUMLA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55757-2021</t>
        </is>
      </c>
      <c r="B49" s="1" t="n">
        <v>44476</v>
      </c>
      <c r="C49" s="1" t="n">
        <v>45850</v>
      </c>
      <c r="D49" t="inlineStr">
        <is>
          <t>ÖREBRO LÄN</t>
        </is>
      </c>
      <c r="E49" t="inlineStr">
        <is>
          <t>KUMLA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55765-2021</t>
        </is>
      </c>
      <c r="B50" s="1" t="n">
        <v>44476</v>
      </c>
      <c r="C50" s="1" t="n">
        <v>45850</v>
      </c>
      <c r="D50" t="inlineStr">
        <is>
          <t>ÖREBRO LÄN</t>
        </is>
      </c>
      <c r="E50" t="inlineStr">
        <is>
          <t>KUMLA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69230-2021</t>
        </is>
      </c>
      <c r="B51" s="1" t="n">
        <v>44531</v>
      </c>
      <c r="C51" s="1" t="n">
        <v>45850</v>
      </c>
      <c r="D51" t="inlineStr">
        <is>
          <t>ÖREBRO LÄN</t>
        </is>
      </c>
      <c r="E51" t="inlineStr">
        <is>
          <t>KUMLA</t>
        </is>
      </c>
      <c r="F51" t="inlineStr">
        <is>
          <t>Kommuner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2954-2022</t>
        </is>
      </c>
      <c r="B52" s="1" t="n">
        <v>44581</v>
      </c>
      <c r="C52" s="1" t="n">
        <v>45850</v>
      </c>
      <c r="D52" t="inlineStr">
        <is>
          <t>ÖREBRO LÄN</t>
        </is>
      </c>
      <c r="E52" t="inlineStr">
        <is>
          <t>KUMLA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5781-2022</t>
        </is>
      </c>
      <c r="B53" s="1" t="n">
        <v>44596</v>
      </c>
      <c r="C53" s="1" t="n">
        <v>45850</v>
      </c>
      <c r="D53" t="inlineStr">
        <is>
          <t>ÖREBRO LÄN</t>
        </is>
      </c>
      <c r="E53" t="inlineStr">
        <is>
          <t>KUMLA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6579-2022</t>
        </is>
      </c>
      <c r="B54" s="1" t="n">
        <v>44601</v>
      </c>
      <c r="C54" s="1" t="n">
        <v>45850</v>
      </c>
      <c r="D54" t="inlineStr">
        <is>
          <t>ÖREBRO LÄN</t>
        </is>
      </c>
      <c r="E54" t="inlineStr">
        <is>
          <t>KUMLA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16245-2022</t>
        </is>
      </c>
      <c r="B55" s="1" t="n">
        <v>44670</v>
      </c>
      <c r="C55" s="1" t="n">
        <v>45850</v>
      </c>
      <c r="D55" t="inlineStr">
        <is>
          <t>ÖREBRO LÄN</t>
        </is>
      </c>
      <c r="E55" t="inlineStr">
        <is>
          <t>KUMLA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20896-2022</t>
        </is>
      </c>
      <c r="B56" s="1" t="n">
        <v>44701</v>
      </c>
      <c r="C56" s="1" t="n">
        <v>45850</v>
      </c>
      <c r="D56" t="inlineStr">
        <is>
          <t>ÖREBRO LÄN</t>
        </is>
      </c>
      <c r="E56" t="inlineStr">
        <is>
          <t>KUMLA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24077-2022</t>
        </is>
      </c>
      <c r="B57" s="1" t="n">
        <v>44723</v>
      </c>
      <c r="C57" s="1" t="n">
        <v>45850</v>
      </c>
      <c r="D57" t="inlineStr">
        <is>
          <t>ÖREBRO LÄN</t>
        </is>
      </c>
      <c r="E57" t="inlineStr">
        <is>
          <t>KUMLA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27148-2022</t>
        </is>
      </c>
      <c r="B58" s="1" t="n">
        <v>44741</v>
      </c>
      <c r="C58" s="1" t="n">
        <v>45850</v>
      </c>
      <c r="D58" t="inlineStr">
        <is>
          <t>ÖREBRO LÄN</t>
        </is>
      </c>
      <c r="E58" t="inlineStr">
        <is>
          <t>KUMLA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32725-2022</t>
        </is>
      </c>
      <c r="B59" s="1" t="n">
        <v>44783</v>
      </c>
      <c r="C59" s="1" t="n">
        <v>45850</v>
      </c>
      <c r="D59" t="inlineStr">
        <is>
          <t>ÖREBRO LÄN</t>
        </is>
      </c>
      <c r="E59" t="inlineStr">
        <is>
          <t>KUMLA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32859-2022</t>
        </is>
      </c>
      <c r="B60" s="1" t="n">
        <v>44784</v>
      </c>
      <c r="C60" s="1" t="n">
        <v>45850</v>
      </c>
      <c r="D60" t="inlineStr">
        <is>
          <t>ÖREBRO LÄN</t>
        </is>
      </c>
      <c r="E60" t="inlineStr">
        <is>
          <t>KUMLA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32864-2022</t>
        </is>
      </c>
      <c r="B61" s="1" t="n">
        <v>44784</v>
      </c>
      <c r="C61" s="1" t="n">
        <v>45850</v>
      </c>
      <c r="D61" t="inlineStr">
        <is>
          <t>ÖREBRO LÄN</t>
        </is>
      </c>
      <c r="E61" t="inlineStr">
        <is>
          <t>KUMLA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35259-2022</t>
        </is>
      </c>
      <c r="B62" s="1" t="n">
        <v>44798</v>
      </c>
      <c r="C62" s="1" t="n">
        <v>45850</v>
      </c>
      <c r="D62" t="inlineStr">
        <is>
          <t>ÖREBRO LÄN</t>
        </is>
      </c>
      <c r="E62" t="inlineStr">
        <is>
          <t>KUMLA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38768-2022</t>
        </is>
      </c>
      <c r="B63" s="1" t="n">
        <v>44816</v>
      </c>
      <c r="C63" s="1" t="n">
        <v>45850</v>
      </c>
      <c r="D63" t="inlineStr">
        <is>
          <t>ÖREBRO LÄN</t>
        </is>
      </c>
      <c r="E63" t="inlineStr">
        <is>
          <t>KUMLA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43706-2022</t>
        </is>
      </c>
      <c r="B64" s="1" t="n">
        <v>44837</v>
      </c>
      <c r="C64" s="1" t="n">
        <v>45850</v>
      </c>
      <c r="D64" t="inlineStr">
        <is>
          <t>ÖREBRO LÄN</t>
        </is>
      </c>
      <c r="E64" t="inlineStr">
        <is>
          <t>KUMLA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46730-2022</t>
        </is>
      </c>
      <c r="B65" s="1" t="n">
        <v>44851</v>
      </c>
      <c r="C65" s="1" t="n">
        <v>45850</v>
      </c>
      <c r="D65" t="inlineStr">
        <is>
          <t>ÖREBRO LÄN</t>
        </is>
      </c>
      <c r="E65" t="inlineStr">
        <is>
          <t>KUMLA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55442-2022</t>
        </is>
      </c>
      <c r="B66" s="1" t="n">
        <v>44887</v>
      </c>
      <c r="C66" s="1" t="n">
        <v>45850</v>
      </c>
      <c r="D66" t="inlineStr">
        <is>
          <t>ÖREBRO LÄN</t>
        </is>
      </c>
      <c r="E66" t="inlineStr">
        <is>
          <t>KUMLA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56265-2022</t>
        </is>
      </c>
      <c r="B67" s="1" t="n">
        <v>44890</v>
      </c>
      <c r="C67" s="1" t="n">
        <v>45850</v>
      </c>
      <c r="D67" t="inlineStr">
        <is>
          <t>ÖREBRO LÄN</t>
        </is>
      </c>
      <c r="E67" t="inlineStr">
        <is>
          <t>KUMLA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56293-2022</t>
        </is>
      </c>
      <c r="B68" s="1" t="n">
        <v>44890</v>
      </c>
      <c r="C68" s="1" t="n">
        <v>45850</v>
      </c>
      <c r="D68" t="inlineStr">
        <is>
          <t>ÖREBRO LÄN</t>
        </is>
      </c>
      <c r="E68" t="inlineStr">
        <is>
          <t>KUMLA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58140-2022</t>
        </is>
      </c>
      <c r="B69" s="1" t="n">
        <v>44900</v>
      </c>
      <c r="C69" s="1" t="n">
        <v>45850</v>
      </c>
      <c r="D69" t="inlineStr">
        <is>
          <t>ÖREBRO LÄN</t>
        </is>
      </c>
      <c r="E69" t="inlineStr">
        <is>
          <t>KUMLA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1478-2023</t>
        </is>
      </c>
      <c r="B70" s="1" t="n">
        <v>44937</v>
      </c>
      <c r="C70" s="1" t="n">
        <v>45850</v>
      </c>
      <c r="D70" t="inlineStr">
        <is>
          <t>ÖREBRO LÄN</t>
        </is>
      </c>
      <c r="E70" t="inlineStr">
        <is>
          <t>KUMLA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2781-2023</t>
        </is>
      </c>
      <c r="B71" s="1" t="n">
        <v>44944</v>
      </c>
      <c r="C71" s="1" t="n">
        <v>45850</v>
      </c>
      <c r="D71" t="inlineStr">
        <is>
          <t>ÖREBRO LÄN</t>
        </is>
      </c>
      <c r="E71" t="inlineStr">
        <is>
          <t>KUMLA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2779-2023</t>
        </is>
      </c>
      <c r="B72" s="1" t="n">
        <v>44944</v>
      </c>
      <c r="C72" s="1" t="n">
        <v>45850</v>
      </c>
      <c r="D72" t="inlineStr">
        <is>
          <t>ÖREBRO LÄN</t>
        </is>
      </c>
      <c r="E72" t="inlineStr">
        <is>
          <t>KUMLA</t>
        </is>
      </c>
      <c r="G72" t="n">
        <v>20.4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3872-2023</t>
        </is>
      </c>
      <c r="B73" s="1" t="n">
        <v>44951</v>
      </c>
      <c r="C73" s="1" t="n">
        <v>45850</v>
      </c>
      <c r="D73" t="inlineStr">
        <is>
          <t>ÖREBRO LÄN</t>
        </is>
      </c>
      <c r="E73" t="inlineStr">
        <is>
          <t>KUMLA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3873-2023</t>
        </is>
      </c>
      <c r="B74" s="1" t="n">
        <v>44951</v>
      </c>
      <c r="C74" s="1" t="n">
        <v>45850</v>
      </c>
      <c r="D74" t="inlineStr">
        <is>
          <t>ÖREBRO LÄN</t>
        </is>
      </c>
      <c r="E74" t="inlineStr">
        <is>
          <t>KUMLA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8460-2023</t>
        </is>
      </c>
      <c r="B75" s="1" t="n">
        <v>44977</v>
      </c>
      <c r="C75" s="1" t="n">
        <v>45850</v>
      </c>
      <c r="D75" t="inlineStr">
        <is>
          <t>ÖREBRO LÄN</t>
        </is>
      </c>
      <c r="E75" t="inlineStr">
        <is>
          <t>KUMLA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8612-2023</t>
        </is>
      </c>
      <c r="B76" s="1" t="n">
        <v>44977</v>
      </c>
      <c r="C76" s="1" t="n">
        <v>45850</v>
      </c>
      <c r="D76" t="inlineStr">
        <is>
          <t>ÖREBRO LÄN</t>
        </is>
      </c>
      <c r="E76" t="inlineStr">
        <is>
          <t>KUMLA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8687-2023</t>
        </is>
      </c>
      <c r="B77" s="1" t="n">
        <v>44978</v>
      </c>
      <c r="C77" s="1" t="n">
        <v>45850</v>
      </c>
      <c r="D77" t="inlineStr">
        <is>
          <t>ÖREBRO LÄN</t>
        </is>
      </c>
      <c r="E77" t="inlineStr">
        <is>
          <t>KUMLA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8852-2023</t>
        </is>
      </c>
      <c r="B78" s="1" t="n">
        <v>44978</v>
      </c>
      <c r="C78" s="1" t="n">
        <v>45850</v>
      </c>
      <c r="D78" t="inlineStr">
        <is>
          <t>ÖREBRO LÄN</t>
        </is>
      </c>
      <c r="E78" t="inlineStr">
        <is>
          <t>KUMLA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11141-2023</t>
        </is>
      </c>
      <c r="B79" s="1" t="n">
        <v>44992</v>
      </c>
      <c r="C79" s="1" t="n">
        <v>45850</v>
      </c>
      <c r="D79" t="inlineStr">
        <is>
          <t>ÖREBRO LÄN</t>
        </is>
      </c>
      <c r="E79" t="inlineStr">
        <is>
          <t>KUMLA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15356-2023</t>
        </is>
      </c>
      <c r="B80" s="1" t="n">
        <v>45019</v>
      </c>
      <c r="C80" s="1" t="n">
        <v>45850</v>
      </c>
      <c r="D80" t="inlineStr">
        <is>
          <t>ÖREBRO LÄN</t>
        </is>
      </c>
      <c r="E80" t="inlineStr">
        <is>
          <t>KUMLA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16132-2023</t>
        </is>
      </c>
      <c r="B81" s="1" t="n">
        <v>45027</v>
      </c>
      <c r="C81" s="1" t="n">
        <v>45850</v>
      </c>
      <c r="D81" t="inlineStr">
        <is>
          <t>ÖREBRO LÄN</t>
        </is>
      </c>
      <c r="E81" t="inlineStr">
        <is>
          <t>KUMLA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19630-2023</t>
        </is>
      </c>
      <c r="B82" s="1" t="n">
        <v>45051</v>
      </c>
      <c r="C82" s="1" t="n">
        <v>45850</v>
      </c>
      <c r="D82" t="inlineStr">
        <is>
          <t>ÖREBRO LÄN</t>
        </is>
      </c>
      <c r="E82" t="inlineStr">
        <is>
          <t>KUMLA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21921-2023</t>
        </is>
      </c>
      <c r="B83" s="1" t="n">
        <v>45068</v>
      </c>
      <c r="C83" s="1" t="n">
        <v>45850</v>
      </c>
      <c r="D83" t="inlineStr">
        <is>
          <t>ÖREBRO LÄN</t>
        </is>
      </c>
      <c r="E83" t="inlineStr">
        <is>
          <t>KUMLA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21937-2023</t>
        </is>
      </c>
      <c r="B84" s="1" t="n">
        <v>45068</v>
      </c>
      <c r="C84" s="1" t="n">
        <v>45850</v>
      </c>
      <c r="D84" t="inlineStr">
        <is>
          <t>ÖREBRO LÄN</t>
        </is>
      </c>
      <c r="E84" t="inlineStr">
        <is>
          <t>KUMLA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29680-2023</t>
        </is>
      </c>
      <c r="B85" s="1" t="n">
        <v>45098</v>
      </c>
      <c r="C85" s="1" t="n">
        <v>45850</v>
      </c>
      <c r="D85" t="inlineStr">
        <is>
          <t>ÖREBRO LÄN</t>
        </is>
      </c>
      <c r="E85" t="inlineStr">
        <is>
          <t>KUMLA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35641-2023</t>
        </is>
      </c>
      <c r="B86" s="1" t="n">
        <v>45147</v>
      </c>
      <c r="C86" s="1" t="n">
        <v>45850</v>
      </c>
      <c r="D86" t="inlineStr">
        <is>
          <t>ÖREBRO LÄN</t>
        </is>
      </c>
      <c r="E86" t="inlineStr">
        <is>
          <t>KUMLA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35646-2023</t>
        </is>
      </c>
      <c r="B87" s="1" t="n">
        <v>45147</v>
      </c>
      <c r="C87" s="1" t="n">
        <v>45850</v>
      </c>
      <c r="D87" t="inlineStr">
        <is>
          <t>ÖREBRO LÄN</t>
        </is>
      </c>
      <c r="E87" t="inlineStr">
        <is>
          <t>KUMLA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40042-2023</t>
        </is>
      </c>
      <c r="B88" s="1" t="n">
        <v>45167</v>
      </c>
      <c r="C88" s="1" t="n">
        <v>45850</v>
      </c>
      <c r="D88" t="inlineStr">
        <is>
          <t>ÖREBRO LÄN</t>
        </is>
      </c>
      <c r="E88" t="inlineStr">
        <is>
          <t>KUMLA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40897-2023</t>
        </is>
      </c>
      <c r="B89" s="1" t="n">
        <v>45173</v>
      </c>
      <c r="C89" s="1" t="n">
        <v>45850</v>
      </c>
      <c r="D89" t="inlineStr">
        <is>
          <t>ÖREBRO LÄN</t>
        </is>
      </c>
      <c r="E89" t="inlineStr">
        <is>
          <t>KUMLA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43661-2023</t>
        </is>
      </c>
      <c r="B90" s="1" t="n">
        <v>45187</v>
      </c>
      <c r="C90" s="1" t="n">
        <v>45850</v>
      </c>
      <c r="D90" t="inlineStr">
        <is>
          <t>ÖREBRO LÄN</t>
        </is>
      </c>
      <c r="E90" t="inlineStr">
        <is>
          <t>KUMLA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51239-2023</t>
        </is>
      </c>
      <c r="B91" s="1" t="n">
        <v>45219</v>
      </c>
      <c r="C91" s="1" t="n">
        <v>45850</v>
      </c>
      <c r="D91" t="inlineStr">
        <is>
          <t>ÖREBRO LÄN</t>
        </is>
      </c>
      <c r="E91" t="inlineStr">
        <is>
          <t>KUMLA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54080-2023</t>
        </is>
      </c>
      <c r="B92" s="1" t="n">
        <v>45225</v>
      </c>
      <c r="C92" s="1" t="n">
        <v>45850</v>
      </c>
      <c r="D92" t="inlineStr">
        <is>
          <t>ÖREBRO LÄN</t>
        </is>
      </c>
      <c r="E92" t="inlineStr">
        <is>
          <t>KUMLA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55208-2023</t>
        </is>
      </c>
      <c r="B93" s="1" t="n">
        <v>45237</v>
      </c>
      <c r="C93" s="1" t="n">
        <v>45850</v>
      </c>
      <c r="D93" t="inlineStr">
        <is>
          <t>ÖREBRO LÄN</t>
        </is>
      </c>
      <c r="E93" t="inlineStr">
        <is>
          <t>KUMLA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58171-2023</t>
        </is>
      </c>
      <c r="B94" s="1" t="n">
        <v>45250</v>
      </c>
      <c r="C94" s="1" t="n">
        <v>45850</v>
      </c>
      <c r="D94" t="inlineStr">
        <is>
          <t>ÖREBRO LÄN</t>
        </is>
      </c>
      <c r="E94" t="inlineStr">
        <is>
          <t>KUMLA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65077-2023</t>
        </is>
      </c>
      <c r="B95" s="1" t="n">
        <v>45287</v>
      </c>
      <c r="C95" s="1" t="n">
        <v>45850</v>
      </c>
      <c r="D95" t="inlineStr">
        <is>
          <t>ÖREBRO LÄN</t>
        </is>
      </c>
      <c r="E95" t="inlineStr">
        <is>
          <t>KUMLA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65076-2023</t>
        </is>
      </c>
      <c r="B96" s="1" t="n">
        <v>45287</v>
      </c>
      <c r="C96" s="1" t="n">
        <v>45850</v>
      </c>
      <c r="D96" t="inlineStr">
        <is>
          <t>ÖREBRO LÄN</t>
        </is>
      </c>
      <c r="E96" t="inlineStr">
        <is>
          <t>KUMLA</t>
        </is>
      </c>
      <c r="F96" t="inlineStr">
        <is>
          <t>Kommuner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323-2024</t>
        </is>
      </c>
      <c r="B97" s="1" t="n">
        <v>45295</v>
      </c>
      <c r="C97" s="1" t="n">
        <v>45850</v>
      </c>
      <c r="D97" t="inlineStr">
        <is>
          <t>ÖREBRO LÄN</t>
        </is>
      </c>
      <c r="E97" t="inlineStr">
        <is>
          <t>KUMLA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2653-2024</t>
        </is>
      </c>
      <c r="B98" s="1" t="n">
        <v>45314</v>
      </c>
      <c r="C98" s="1" t="n">
        <v>45850</v>
      </c>
      <c r="D98" t="inlineStr">
        <is>
          <t>ÖREBRO LÄN</t>
        </is>
      </c>
      <c r="E98" t="inlineStr">
        <is>
          <t>KUMLA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3918-2024</t>
        </is>
      </c>
      <c r="B99" s="1" t="n">
        <v>45322</v>
      </c>
      <c r="C99" s="1" t="n">
        <v>45850</v>
      </c>
      <c r="D99" t="inlineStr">
        <is>
          <t>ÖREBRO LÄN</t>
        </is>
      </c>
      <c r="E99" t="inlineStr">
        <is>
          <t>KUMLA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3920-2024</t>
        </is>
      </c>
      <c r="B100" s="1" t="n">
        <v>45322</v>
      </c>
      <c r="C100" s="1" t="n">
        <v>45850</v>
      </c>
      <c r="D100" t="inlineStr">
        <is>
          <t>ÖREBRO LÄN</t>
        </is>
      </c>
      <c r="E100" t="inlineStr">
        <is>
          <t>KUMLA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6315-2024</t>
        </is>
      </c>
      <c r="B101" s="1" t="n">
        <v>45338</v>
      </c>
      <c r="C101" s="1" t="n">
        <v>45850</v>
      </c>
      <c r="D101" t="inlineStr">
        <is>
          <t>ÖREBRO LÄN</t>
        </is>
      </c>
      <c r="E101" t="inlineStr">
        <is>
          <t>KUMLA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10785-2024</t>
        </is>
      </c>
      <c r="B102" s="1" t="n">
        <v>45369</v>
      </c>
      <c r="C102" s="1" t="n">
        <v>45850</v>
      </c>
      <c r="D102" t="inlineStr">
        <is>
          <t>ÖREBRO LÄN</t>
        </is>
      </c>
      <c r="E102" t="inlineStr">
        <is>
          <t>KUMLA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10794-2024</t>
        </is>
      </c>
      <c r="B103" s="1" t="n">
        <v>45369</v>
      </c>
      <c r="C103" s="1" t="n">
        <v>45850</v>
      </c>
      <c r="D103" t="inlineStr">
        <is>
          <t>ÖREBRO LÄN</t>
        </is>
      </c>
      <c r="E103" t="inlineStr">
        <is>
          <t>KUMLA</t>
        </is>
      </c>
      <c r="G103" t="n">
        <v>9.5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15781-2024</t>
        </is>
      </c>
      <c r="B104" s="1" t="n">
        <v>45404</v>
      </c>
      <c r="C104" s="1" t="n">
        <v>45850</v>
      </c>
      <c r="D104" t="inlineStr">
        <is>
          <t>ÖREBRO LÄN</t>
        </is>
      </c>
      <c r="E104" t="inlineStr">
        <is>
          <t>KUMLA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22068-2024</t>
        </is>
      </c>
      <c r="B105" s="1" t="n">
        <v>45443</v>
      </c>
      <c r="C105" s="1" t="n">
        <v>45850</v>
      </c>
      <c r="D105" t="inlineStr">
        <is>
          <t>ÖREBRO LÄN</t>
        </is>
      </c>
      <c r="E105" t="inlineStr">
        <is>
          <t>KUMLA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23648-2024</t>
        </is>
      </c>
      <c r="B106" s="1" t="n">
        <v>45454</v>
      </c>
      <c r="C106" s="1" t="n">
        <v>45850</v>
      </c>
      <c r="D106" t="inlineStr">
        <is>
          <t>ÖREBRO LÄN</t>
        </is>
      </c>
      <c r="E106" t="inlineStr">
        <is>
          <t>KUMLA</t>
        </is>
      </c>
      <c r="F106" t="inlineStr">
        <is>
          <t>Kommuner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30806-2024</t>
        </is>
      </c>
      <c r="B107" s="1" t="n">
        <v>45497</v>
      </c>
      <c r="C107" s="1" t="n">
        <v>45850</v>
      </c>
      <c r="D107" t="inlineStr">
        <is>
          <t>ÖREBRO LÄN</t>
        </is>
      </c>
      <c r="E107" t="inlineStr">
        <is>
          <t>KUMLA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36237-2024</t>
        </is>
      </c>
      <c r="B108" s="1" t="n">
        <v>45534</v>
      </c>
      <c r="C108" s="1" t="n">
        <v>45850</v>
      </c>
      <c r="D108" t="inlineStr">
        <is>
          <t>ÖREBRO LÄN</t>
        </is>
      </c>
      <c r="E108" t="inlineStr">
        <is>
          <t>KUMLA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38193-2024</t>
        </is>
      </c>
      <c r="B109" s="1" t="n">
        <v>45545</v>
      </c>
      <c r="C109" s="1" t="n">
        <v>45850</v>
      </c>
      <c r="D109" t="inlineStr">
        <is>
          <t>ÖREBRO LÄN</t>
        </is>
      </c>
      <c r="E109" t="inlineStr">
        <is>
          <t>KUMLA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38335-2024</t>
        </is>
      </c>
      <c r="B110" s="1" t="n">
        <v>45545</v>
      </c>
      <c r="C110" s="1" t="n">
        <v>45850</v>
      </c>
      <c r="D110" t="inlineStr">
        <is>
          <t>ÖREBRO LÄN</t>
        </is>
      </c>
      <c r="E110" t="inlineStr">
        <is>
          <t>KUMLA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38343-2024</t>
        </is>
      </c>
      <c r="B111" s="1" t="n">
        <v>45545</v>
      </c>
      <c r="C111" s="1" t="n">
        <v>45850</v>
      </c>
      <c r="D111" t="inlineStr">
        <is>
          <t>ÖREBRO LÄN</t>
        </is>
      </c>
      <c r="E111" t="inlineStr">
        <is>
          <t>KUMLA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38615-2024</t>
        </is>
      </c>
      <c r="B112" s="1" t="n">
        <v>45546</v>
      </c>
      <c r="C112" s="1" t="n">
        <v>45850</v>
      </c>
      <c r="D112" t="inlineStr">
        <is>
          <t>ÖREBRO LÄN</t>
        </is>
      </c>
      <c r="E112" t="inlineStr">
        <is>
          <t>KUMLA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38871-2024</t>
        </is>
      </c>
      <c r="B113" s="1" t="n">
        <v>45547</v>
      </c>
      <c r="C113" s="1" t="n">
        <v>45850</v>
      </c>
      <c r="D113" t="inlineStr">
        <is>
          <t>ÖREBRO LÄN</t>
        </is>
      </c>
      <c r="E113" t="inlineStr">
        <is>
          <t>KUMLA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40275-2024</t>
        </is>
      </c>
      <c r="B114" s="1" t="n">
        <v>45554</v>
      </c>
      <c r="C114" s="1" t="n">
        <v>45850</v>
      </c>
      <c r="D114" t="inlineStr">
        <is>
          <t>ÖREBRO LÄN</t>
        </is>
      </c>
      <c r="E114" t="inlineStr">
        <is>
          <t>KUMLA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40875-2024</t>
        </is>
      </c>
      <c r="B115" s="1" t="n">
        <v>45558</v>
      </c>
      <c r="C115" s="1" t="n">
        <v>45850</v>
      </c>
      <c r="D115" t="inlineStr">
        <is>
          <t>ÖREBRO LÄN</t>
        </is>
      </c>
      <c r="E115" t="inlineStr">
        <is>
          <t>KUMLA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41078-2024</t>
        </is>
      </c>
      <c r="B116" s="1" t="n">
        <v>45559</v>
      </c>
      <c r="C116" s="1" t="n">
        <v>45850</v>
      </c>
      <c r="D116" t="inlineStr">
        <is>
          <t>ÖREBRO LÄN</t>
        </is>
      </c>
      <c r="E116" t="inlineStr">
        <is>
          <t>KUMLA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42221-2024</t>
        </is>
      </c>
      <c r="B117" s="1" t="n">
        <v>45562</v>
      </c>
      <c r="C117" s="1" t="n">
        <v>45850</v>
      </c>
      <c r="D117" t="inlineStr">
        <is>
          <t>ÖREBRO LÄN</t>
        </is>
      </c>
      <c r="E117" t="inlineStr">
        <is>
          <t>KUMLA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51940-2024</t>
        </is>
      </c>
      <c r="B118" s="1" t="n">
        <v>45607</v>
      </c>
      <c r="C118" s="1" t="n">
        <v>45850</v>
      </c>
      <c r="D118" t="inlineStr">
        <is>
          <t>ÖREBRO LÄN</t>
        </is>
      </c>
      <c r="E118" t="inlineStr">
        <is>
          <t>KUMLA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52192-2024</t>
        </is>
      </c>
      <c r="B119" s="1" t="n">
        <v>45608</v>
      </c>
      <c r="C119" s="1" t="n">
        <v>45850</v>
      </c>
      <c r="D119" t="inlineStr">
        <is>
          <t>ÖREBRO LÄN</t>
        </is>
      </c>
      <c r="E119" t="inlineStr">
        <is>
          <t>KUMLA</t>
        </is>
      </c>
      <c r="G119" t="n">
        <v>14.7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52202-2024</t>
        </is>
      </c>
      <c r="B120" s="1" t="n">
        <v>45608</v>
      </c>
      <c r="C120" s="1" t="n">
        <v>45850</v>
      </c>
      <c r="D120" t="inlineStr">
        <is>
          <t>ÖREBRO LÄN</t>
        </is>
      </c>
      <c r="E120" t="inlineStr">
        <is>
          <t>KUMLA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52180-2024</t>
        </is>
      </c>
      <c r="B121" s="1" t="n">
        <v>45608</v>
      </c>
      <c r="C121" s="1" t="n">
        <v>45850</v>
      </c>
      <c r="D121" t="inlineStr">
        <is>
          <t>ÖREBRO LÄN</t>
        </is>
      </c>
      <c r="E121" t="inlineStr">
        <is>
          <t>KUMLA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55340-2024</t>
        </is>
      </c>
      <c r="B122" s="1" t="n">
        <v>45621</v>
      </c>
      <c r="C122" s="1" t="n">
        <v>45850</v>
      </c>
      <c r="D122" t="inlineStr">
        <is>
          <t>ÖREBRO LÄN</t>
        </is>
      </c>
      <c r="E122" t="inlineStr">
        <is>
          <t>KUMLA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56712-2024</t>
        </is>
      </c>
      <c r="B123" s="1" t="n">
        <v>45628</v>
      </c>
      <c r="C123" s="1" t="n">
        <v>45850</v>
      </c>
      <c r="D123" t="inlineStr">
        <is>
          <t>ÖREBRO LÄN</t>
        </is>
      </c>
      <c r="E123" t="inlineStr">
        <is>
          <t>KUMLA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56730-2024</t>
        </is>
      </c>
      <c r="B124" s="1" t="n">
        <v>45628</v>
      </c>
      <c r="C124" s="1" t="n">
        <v>45850</v>
      </c>
      <c r="D124" t="inlineStr">
        <is>
          <t>ÖREBRO LÄN</t>
        </is>
      </c>
      <c r="E124" t="inlineStr">
        <is>
          <t>KUMLA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57949-2024</t>
        </is>
      </c>
      <c r="B125" s="1" t="n">
        <v>45631</v>
      </c>
      <c r="C125" s="1" t="n">
        <v>45850</v>
      </c>
      <c r="D125" t="inlineStr">
        <is>
          <t>ÖREBRO LÄN</t>
        </is>
      </c>
      <c r="E125" t="inlineStr">
        <is>
          <t>KUMLA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57944-2024</t>
        </is>
      </c>
      <c r="B126" s="1" t="n">
        <v>45631</v>
      </c>
      <c r="C126" s="1" t="n">
        <v>45850</v>
      </c>
      <c r="D126" t="inlineStr">
        <is>
          <t>ÖREBRO LÄN</t>
        </is>
      </c>
      <c r="E126" t="inlineStr">
        <is>
          <t>KUMLA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58657-2024</t>
        </is>
      </c>
      <c r="B127" s="1" t="n">
        <v>45632</v>
      </c>
      <c r="C127" s="1" t="n">
        <v>45850</v>
      </c>
      <c r="D127" t="inlineStr">
        <is>
          <t>ÖREBRO LÄN</t>
        </is>
      </c>
      <c r="E127" t="inlineStr">
        <is>
          <t>KUMLA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12-2025</t>
        </is>
      </c>
      <c r="B128" s="1" t="n">
        <v>45658</v>
      </c>
      <c r="C128" s="1" t="n">
        <v>45850</v>
      </c>
      <c r="D128" t="inlineStr">
        <is>
          <t>ÖREBRO LÄN</t>
        </is>
      </c>
      <c r="E128" t="inlineStr">
        <is>
          <t>KUMLA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13-2025</t>
        </is>
      </c>
      <c r="B129" s="1" t="n">
        <v>45658</v>
      </c>
      <c r="C129" s="1" t="n">
        <v>45850</v>
      </c>
      <c r="D129" t="inlineStr">
        <is>
          <t>ÖREBRO LÄN</t>
        </is>
      </c>
      <c r="E129" t="inlineStr">
        <is>
          <t>KUMLA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4103-2025</t>
        </is>
      </c>
      <c r="B130" s="1" t="n">
        <v>45684</v>
      </c>
      <c r="C130" s="1" t="n">
        <v>45850</v>
      </c>
      <c r="D130" t="inlineStr">
        <is>
          <t>ÖREBRO LÄN</t>
        </is>
      </c>
      <c r="E130" t="inlineStr">
        <is>
          <t>KUMLA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4102-2025</t>
        </is>
      </c>
      <c r="B131" s="1" t="n">
        <v>45684</v>
      </c>
      <c r="C131" s="1" t="n">
        <v>45850</v>
      </c>
      <c r="D131" t="inlineStr">
        <is>
          <t>ÖREBRO LÄN</t>
        </is>
      </c>
      <c r="E131" t="inlineStr">
        <is>
          <t>KUMLA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4100-2025</t>
        </is>
      </c>
      <c r="B132" s="1" t="n">
        <v>45684</v>
      </c>
      <c r="C132" s="1" t="n">
        <v>45850</v>
      </c>
      <c r="D132" t="inlineStr">
        <is>
          <t>ÖREBRO LÄN</t>
        </is>
      </c>
      <c r="E132" t="inlineStr">
        <is>
          <t>KUMLA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6267-2025</t>
        </is>
      </c>
      <c r="B133" s="1" t="n">
        <v>45698</v>
      </c>
      <c r="C133" s="1" t="n">
        <v>45850</v>
      </c>
      <c r="D133" t="inlineStr">
        <is>
          <t>ÖREBRO LÄN</t>
        </is>
      </c>
      <c r="E133" t="inlineStr">
        <is>
          <t>KUMLA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6266-2025</t>
        </is>
      </c>
      <c r="B134" s="1" t="n">
        <v>45698</v>
      </c>
      <c r="C134" s="1" t="n">
        <v>45850</v>
      </c>
      <c r="D134" t="inlineStr">
        <is>
          <t>ÖREBRO LÄN</t>
        </is>
      </c>
      <c r="E134" t="inlineStr">
        <is>
          <t>KUMLA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8677-2025</t>
        </is>
      </c>
      <c r="B135" s="1" t="n">
        <v>45712</v>
      </c>
      <c r="C135" s="1" t="n">
        <v>45850</v>
      </c>
      <c r="D135" t="inlineStr">
        <is>
          <t>ÖREBRO LÄN</t>
        </is>
      </c>
      <c r="E135" t="inlineStr">
        <is>
          <t>KUMLA</t>
        </is>
      </c>
      <c r="F135" t="inlineStr">
        <is>
          <t>Kommuner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11778-2025</t>
        </is>
      </c>
      <c r="B136" s="1" t="n">
        <v>45727</v>
      </c>
      <c r="C136" s="1" t="n">
        <v>45850</v>
      </c>
      <c r="D136" t="inlineStr">
        <is>
          <t>ÖREBRO LÄN</t>
        </is>
      </c>
      <c r="E136" t="inlineStr">
        <is>
          <t>KUMLA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15626-2025</t>
        </is>
      </c>
      <c r="B137" s="1" t="n">
        <v>45748</v>
      </c>
      <c r="C137" s="1" t="n">
        <v>45850</v>
      </c>
      <c r="D137" t="inlineStr">
        <is>
          <t>ÖREBRO LÄN</t>
        </is>
      </c>
      <c r="E137" t="inlineStr">
        <is>
          <t>KUMLA</t>
        </is>
      </c>
      <c r="G137" t="n">
        <v>10.9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15615-2025</t>
        </is>
      </c>
      <c r="B138" s="1" t="n">
        <v>45748</v>
      </c>
      <c r="C138" s="1" t="n">
        <v>45850</v>
      </c>
      <c r="D138" t="inlineStr">
        <is>
          <t>ÖREBRO LÄN</t>
        </is>
      </c>
      <c r="E138" t="inlineStr">
        <is>
          <t>KUMLA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17920-2025</t>
        </is>
      </c>
      <c r="B139" s="1" t="n">
        <v>45758</v>
      </c>
      <c r="C139" s="1" t="n">
        <v>45850</v>
      </c>
      <c r="D139" t="inlineStr">
        <is>
          <t>ÖREBRO LÄN</t>
        </is>
      </c>
      <c r="E139" t="inlineStr">
        <is>
          <t>KUMLA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23225-2025</t>
        </is>
      </c>
      <c r="B140" s="1" t="n">
        <v>45791</v>
      </c>
      <c r="C140" s="1" t="n">
        <v>45850</v>
      </c>
      <c r="D140" t="inlineStr">
        <is>
          <t>ÖREBRO LÄN</t>
        </is>
      </c>
      <c r="E140" t="inlineStr">
        <is>
          <t>KUMLA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23221-2025</t>
        </is>
      </c>
      <c r="B141" s="1" t="n">
        <v>45791</v>
      </c>
      <c r="C141" s="1" t="n">
        <v>45850</v>
      </c>
      <c r="D141" t="inlineStr">
        <is>
          <t>ÖREBRO LÄN</t>
        </is>
      </c>
      <c r="E141" t="inlineStr">
        <is>
          <t>KUMLA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30466-2025</t>
        </is>
      </c>
      <c r="B142" s="1" t="n">
        <v>45827</v>
      </c>
      <c r="C142" s="1" t="n">
        <v>45850</v>
      </c>
      <c r="D142" t="inlineStr">
        <is>
          <t>ÖREBRO LÄN</t>
        </is>
      </c>
      <c r="E142" t="inlineStr">
        <is>
          <t>KUMLA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>
      <c r="A143" t="inlineStr">
        <is>
          <t>A 30465-2025</t>
        </is>
      </c>
      <c r="B143" s="1" t="n">
        <v>45827</v>
      </c>
      <c r="C143" s="1" t="n">
        <v>45850</v>
      </c>
      <c r="D143" t="inlineStr">
        <is>
          <t>ÖREBRO LÄN</t>
        </is>
      </c>
      <c r="E143" t="inlineStr">
        <is>
          <t>KUMLA</t>
        </is>
      </c>
      <c r="G143" t="n">
        <v>18.7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2025-07-12T19:18:54Z</dcterms:created>
  <dcterms:modified xmlns:dcterms="http://purl.org/dc/terms/" xmlns:xsi="http://www.w3.org/2001/XMLSchema-instance" xsi:type="dcterms:W3CDTF">2025-07-12T19:18:54Z</dcterms:modified>
</cp:coreProperties>
</file>
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55286-2024</t>
        </is>
      </c>
      <c r="B2" s="1" t="n">
        <v>45621</v>
      </c>
      <c r="C2" s="1" t="n">
        <v>46198</v>
      </c>
      <c r="D2" t="inlineStr">
        <is>
          <t>ÖREBRO LÄN</t>
        </is>
      </c>
      <c r="E2" t="inlineStr">
        <is>
          <t>KUMLA</t>
        </is>
      </c>
      <c r="G2" t="n">
        <v>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Grönsångare
Gröngöling
Törnskata</t>
        </is>
      </c>
      <c r="S2">
        <f>HYPERLINK("https://klasma.github.io/Logging_1881/artfynd/A 55286-2024 artfynd.xlsx", "A 55286-2024")</f>
        <v/>
      </c>
      <c r="T2">
        <f>HYPERLINK("https://klasma.github.io/Logging_1881/kartor/A 55286-2024 karta.png", "A 55286-2024")</f>
        <v/>
      </c>
      <c r="V2">
        <f>HYPERLINK("https://klasma.github.io/Logging_1881/klagomål/A 55286-2024 FSC-klagomål.docx", "A 55286-2024")</f>
        <v/>
      </c>
      <c r="W2">
        <f>HYPERLINK("https://klasma.github.io/Logging_1881/klagomålsmail/A 55286-2024 FSC-klagomål mail.docx", "A 55286-2024")</f>
        <v/>
      </c>
      <c r="X2">
        <f>HYPERLINK("https://klasma.github.io/Logging_1881/tillsyn/A 55286-2024 tillsynsbegäran.docx", "A 55286-2024")</f>
        <v/>
      </c>
      <c r="Y2">
        <f>HYPERLINK("https://klasma.github.io/Logging_1881/tillsynsmail/A 55286-2024 tillsynsbegäran mail.docx", "A 55286-2024")</f>
        <v/>
      </c>
      <c r="Z2">
        <f>HYPERLINK("https://klasma.github.io/Logging_1881/fåglar/A 55286-2024 prioriterade fågelarter.docx", "A 55286-2024")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46198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15615-2025</t>
        </is>
      </c>
      <c r="B4" s="1" t="n">
        <v>45748</v>
      </c>
      <c r="C4" s="1" t="n">
        <v>46198</v>
      </c>
      <c r="D4" t="inlineStr">
        <is>
          <t>ÖREBRO LÄN</t>
        </is>
      </c>
      <c r="E4" t="inlineStr">
        <is>
          <t>KUMLA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Åkerkål</t>
        </is>
      </c>
      <c r="S4">
        <f>HYPERLINK("https://klasma.github.io/Logging_1881/artfynd/A 15615-2025 artfynd.xlsx", "A 15615-2025")</f>
        <v/>
      </c>
      <c r="T4">
        <f>HYPERLINK("https://klasma.github.io/Logging_1881/kartor/A 15615-2025 karta.png", "A 15615-2025")</f>
        <v/>
      </c>
      <c r="V4">
        <f>HYPERLINK("https://klasma.github.io/Logging_1881/klagomål/A 15615-2025 FSC-klagomål.docx", "A 15615-2025")</f>
        <v/>
      </c>
      <c r="W4">
        <f>HYPERLINK("https://klasma.github.io/Logging_1881/klagomålsmail/A 15615-2025 FSC-klagomål mail.docx", "A 15615-2025")</f>
        <v/>
      </c>
      <c r="X4">
        <f>HYPERLINK("https://klasma.github.io/Logging_1881/tillsyn/A 15615-2025 tillsynsbegäran.docx", "A 15615-2025")</f>
        <v/>
      </c>
      <c r="Y4">
        <f>HYPERLINK("https://klasma.github.io/Logging_1881/tillsynsmail/A 15615-2025 tillsynsbegäran mail.docx", "A 15615-2025")</f>
        <v/>
      </c>
    </row>
    <row r="5" ht="15" customHeight="1">
      <c r="A5" t="inlineStr">
        <is>
          <t>A 43257-2021</t>
        </is>
      </c>
      <c r="B5" s="1" t="n">
        <v>44432</v>
      </c>
      <c r="C5" s="1" t="n">
        <v>46198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46198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46198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46198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</v>
      </c>
      <c r="C9" s="1" t="n">
        <v>46198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55757-2021</t>
        </is>
      </c>
      <c r="B10" s="1" t="n">
        <v>44476</v>
      </c>
      <c r="C10" s="1" t="n">
        <v>46198</v>
      </c>
      <c r="D10" t="inlineStr">
        <is>
          <t>ÖREBRO LÄN</t>
        </is>
      </c>
      <c r="E10" t="inlineStr">
        <is>
          <t>KUMLA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55760-2021</t>
        </is>
      </c>
      <c r="B11" s="1" t="n">
        <v>44476</v>
      </c>
      <c r="C11" s="1" t="n">
        <v>46198</v>
      </c>
      <c r="D11" t="inlineStr">
        <is>
          <t>ÖREBRO LÄN</t>
        </is>
      </c>
      <c r="E11" t="inlineStr">
        <is>
          <t>KUMLA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46198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24077-2022</t>
        </is>
      </c>
      <c r="B13" s="1" t="n">
        <v>44723</v>
      </c>
      <c r="C13" s="1" t="n">
        <v>46198</v>
      </c>
      <c r="D13" t="inlineStr">
        <is>
          <t>ÖREBRO LÄN</t>
        </is>
      </c>
      <c r="E13" t="inlineStr">
        <is>
          <t>KUMLA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23648-2024</t>
        </is>
      </c>
      <c r="B14" s="1" t="n">
        <v>45454</v>
      </c>
      <c r="C14" s="1" t="n">
        <v>46198</v>
      </c>
      <c r="D14" t="inlineStr">
        <is>
          <t>ÖREBRO LÄN</t>
        </is>
      </c>
      <c r="E14" t="inlineStr">
        <is>
          <t>KUMLA</t>
        </is>
      </c>
      <c r="F14" t="inlineStr">
        <is>
          <t>Kommuner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57949-2024</t>
        </is>
      </c>
      <c r="B15" s="1" t="n">
        <v>45631</v>
      </c>
      <c r="C15" s="1" t="n">
        <v>46198</v>
      </c>
      <c r="D15" t="inlineStr">
        <is>
          <t>ÖREBRO LÄN</t>
        </is>
      </c>
      <c r="E15" t="inlineStr">
        <is>
          <t>KUMLA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52192-2024</t>
        </is>
      </c>
      <c r="B16" s="1" t="n">
        <v>45608</v>
      </c>
      <c r="C16" s="1" t="n">
        <v>46198</v>
      </c>
      <c r="D16" t="inlineStr">
        <is>
          <t>ÖREBRO LÄN</t>
        </is>
      </c>
      <c r="E16" t="inlineStr">
        <is>
          <t>KUMLA</t>
        </is>
      </c>
      <c r="G16" t="n">
        <v>14.7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52180-2024</t>
        </is>
      </c>
      <c r="B17" s="1" t="n">
        <v>45608</v>
      </c>
      <c r="C17" s="1" t="n">
        <v>46198</v>
      </c>
      <c r="D17" t="inlineStr">
        <is>
          <t>ÖREBRO LÄN</t>
        </is>
      </c>
      <c r="E17" t="inlineStr">
        <is>
          <t>KUMLA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57944-2024</t>
        </is>
      </c>
      <c r="B18" s="1" t="n">
        <v>45631</v>
      </c>
      <c r="C18" s="1" t="n">
        <v>46198</v>
      </c>
      <c r="D18" t="inlineStr">
        <is>
          <t>ÖREBRO LÄN</t>
        </is>
      </c>
      <c r="E18" t="inlineStr">
        <is>
          <t>KUMLA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55442-2022</t>
        </is>
      </c>
      <c r="B19" s="1" t="n">
        <v>44887</v>
      </c>
      <c r="C19" s="1" t="n">
        <v>46198</v>
      </c>
      <c r="D19" t="inlineStr">
        <is>
          <t>ÖREBRO LÄN</t>
        </is>
      </c>
      <c r="E19" t="inlineStr">
        <is>
          <t>KUMLA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40042-2023</t>
        </is>
      </c>
      <c r="B20" s="1" t="n">
        <v>45167</v>
      </c>
      <c r="C20" s="1" t="n">
        <v>46198</v>
      </c>
      <c r="D20" t="inlineStr">
        <is>
          <t>ÖREBRO LÄN</t>
        </is>
      </c>
      <c r="E20" t="inlineStr">
        <is>
          <t>KUMLA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8612-2023</t>
        </is>
      </c>
      <c r="B21" s="1" t="n">
        <v>44977</v>
      </c>
      <c r="C21" s="1" t="n">
        <v>46198</v>
      </c>
      <c r="D21" t="inlineStr">
        <is>
          <t>ÖREBRO LÄN</t>
        </is>
      </c>
      <c r="E21" t="inlineStr">
        <is>
          <t>KUMLA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40974-2021</t>
        </is>
      </c>
      <c r="B22" s="1" t="n">
        <v>44421</v>
      </c>
      <c r="C22" s="1" t="n">
        <v>46198</v>
      </c>
      <c r="D22" t="inlineStr">
        <is>
          <t>ÖREBRO LÄN</t>
        </is>
      </c>
      <c r="E22" t="inlineStr">
        <is>
          <t>KUMLA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30806-2024</t>
        </is>
      </c>
      <c r="B23" s="1" t="n">
        <v>45497</v>
      </c>
      <c r="C23" s="1" t="n">
        <v>46198</v>
      </c>
      <c r="D23" t="inlineStr">
        <is>
          <t>ÖREBRO LÄN</t>
        </is>
      </c>
      <c r="E23" t="inlineStr">
        <is>
          <t>KUMLA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51940-2024</t>
        </is>
      </c>
      <c r="B24" s="1" t="n">
        <v>45607</v>
      </c>
      <c r="C24" s="1" t="n">
        <v>46198</v>
      </c>
      <c r="D24" t="inlineStr">
        <is>
          <t>ÖREBRO LÄN</t>
        </is>
      </c>
      <c r="E24" t="inlineStr">
        <is>
          <t>KUMLA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55208-2023</t>
        </is>
      </c>
      <c r="B25" s="1" t="n">
        <v>45237</v>
      </c>
      <c r="C25" s="1" t="n">
        <v>46198</v>
      </c>
      <c r="D25" t="inlineStr">
        <is>
          <t>ÖREBRO LÄN</t>
        </is>
      </c>
      <c r="E25" t="inlineStr">
        <is>
          <t>KUMLA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3872-2023</t>
        </is>
      </c>
      <c r="B26" s="1" t="n">
        <v>44951</v>
      </c>
      <c r="C26" s="1" t="n">
        <v>46198</v>
      </c>
      <c r="D26" t="inlineStr">
        <is>
          <t>ÖREBRO LÄN</t>
        </is>
      </c>
      <c r="E26" t="inlineStr">
        <is>
          <t>KUMLA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43706-2022</t>
        </is>
      </c>
      <c r="B27" s="1" t="n">
        <v>44837</v>
      </c>
      <c r="C27" s="1" t="n">
        <v>46198</v>
      </c>
      <c r="D27" t="inlineStr">
        <is>
          <t>ÖREBRO LÄN</t>
        </is>
      </c>
      <c r="E27" t="inlineStr">
        <is>
          <t>KUMLA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8687-2023</t>
        </is>
      </c>
      <c r="B28" s="1" t="n">
        <v>44978</v>
      </c>
      <c r="C28" s="1" t="n">
        <v>46198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38615-2024</t>
        </is>
      </c>
      <c r="B29" s="1" t="n">
        <v>45546</v>
      </c>
      <c r="C29" s="1" t="n">
        <v>46198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8852-2023</t>
        </is>
      </c>
      <c r="B30" s="1" t="n">
        <v>44978</v>
      </c>
      <c r="C30" s="1" t="n">
        <v>46198</v>
      </c>
      <c r="D30" t="inlineStr">
        <is>
          <t>ÖREBRO LÄN</t>
        </is>
      </c>
      <c r="E30" t="inlineStr">
        <is>
          <t>KUMLA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40897-2023</t>
        </is>
      </c>
      <c r="B31" s="1" t="n">
        <v>45173</v>
      </c>
      <c r="C31" s="1" t="n">
        <v>46198</v>
      </c>
      <c r="D31" t="inlineStr">
        <is>
          <t>ÖREBRO LÄN</t>
        </is>
      </c>
      <c r="E31" t="inlineStr">
        <is>
          <t>KUMLA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38193-2024</t>
        </is>
      </c>
      <c r="B32" s="1" t="n">
        <v>45545</v>
      </c>
      <c r="C32" s="1" t="n">
        <v>46198</v>
      </c>
      <c r="D32" t="inlineStr">
        <is>
          <t>ÖREBRO LÄN</t>
        </is>
      </c>
      <c r="E32" t="inlineStr">
        <is>
          <t>KUMLA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3873-2023</t>
        </is>
      </c>
      <c r="B33" s="1" t="n">
        <v>44951</v>
      </c>
      <c r="C33" s="1" t="n">
        <v>46198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17920-2025</t>
        </is>
      </c>
      <c r="B34" s="1" t="n">
        <v>45758</v>
      </c>
      <c r="C34" s="1" t="n">
        <v>46198</v>
      </c>
      <c r="D34" t="inlineStr">
        <is>
          <t>ÖREBRO LÄN</t>
        </is>
      </c>
      <c r="E34" t="inlineStr">
        <is>
          <t>KUMLA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21921-2023</t>
        </is>
      </c>
      <c r="B35" s="1" t="n">
        <v>45068</v>
      </c>
      <c r="C35" s="1" t="n">
        <v>46198</v>
      </c>
      <c r="D35" t="inlineStr">
        <is>
          <t>ÖREBRO LÄN</t>
        </is>
      </c>
      <c r="E35" t="inlineStr">
        <is>
          <t>KUMLA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29680-2023</t>
        </is>
      </c>
      <c r="B36" s="1" t="n">
        <v>45098</v>
      </c>
      <c r="C36" s="1" t="n">
        <v>46198</v>
      </c>
      <c r="D36" t="inlineStr">
        <is>
          <t>ÖREBRO LÄN</t>
        </is>
      </c>
      <c r="E36" t="inlineStr">
        <is>
          <t>KUMLA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16132-2023</t>
        </is>
      </c>
      <c r="B37" s="1" t="n">
        <v>45027</v>
      </c>
      <c r="C37" s="1" t="n">
        <v>46198</v>
      </c>
      <c r="D37" t="inlineStr">
        <is>
          <t>ÖREBRO LÄN</t>
        </is>
      </c>
      <c r="E37" t="inlineStr">
        <is>
          <t>KUMLA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27541-2026</t>
        </is>
      </c>
      <c r="B38" s="1" t="n">
        <v>46185</v>
      </c>
      <c r="C38" s="1" t="n">
        <v>46198</v>
      </c>
      <c r="D38" t="inlineStr">
        <is>
          <t>ÖREBRO LÄN</t>
        </is>
      </c>
      <c r="E38" t="inlineStr">
        <is>
          <t>KUMLA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12-2025</t>
        </is>
      </c>
      <c r="B39" s="1" t="n">
        <v>45658</v>
      </c>
      <c r="C39" s="1" t="n">
        <v>46198</v>
      </c>
      <c r="D39" t="inlineStr">
        <is>
          <t>ÖREBRO LÄN</t>
        </is>
      </c>
      <c r="E39" t="inlineStr">
        <is>
          <t>KUMLA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6315-2024</t>
        </is>
      </c>
      <c r="B40" s="1" t="n">
        <v>45338</v>
      </c>
      <c r="C40" s="1" t="n">
        <v>46198</v>
      </c>
      <c r="D40" t="inlineStr">
        <is>
          <t>ÖREBRO LÄN</t>
        </is>
      </c>
      <c r="E40" t="inlineStr">
        <is>
          <t>KUMLA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2653-2024</t>
        </is>
      </c>
      <c r="B41" s="1" t="n">
        <v>45314</v>
      </c>
      <c r="C41" s="1" t="n">
        <v>46198</v>
      </c>
      <c r="D41" t="inlineStr">
        <is>
          <t>ÖREBRO LÄN</t>
        </is>
      </c>
      <c r="E41" t="inlineStr">
        <is>
          <t>KUMLA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4100-2025</t>
        </is>
      </c>
      <c r="B42" s="1" t="n">
        <v>45684</v>
      </c>
      <c r="C42" s="1" t="n">
        <v>46198</v>
      </c>
      <c r="D42" t="inlineStr">
        <is>
          <t>ÖREBRO LÄN</t>
        </is>
      </c>
      <c r="E42" t="inlineStr">
        <is>
          <t>KUMLA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56712-2024</t>
        </is>
      </c>
      <c r="B43" s="1" t="n">
        <v>45628</v>
      </c>
      <c r="C43" s="1" t="n">
        <v>46198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22339-2026</t>
        </is>
      </c>
      <c r="B44" s="1" t="n">
        <v>46151</v>
      </c>
      <c r="C44" s="1" t="n">
        <v>46198</v>
      </c>
      <c r="D44" t="inlineStr">
        <is>
          <t>ÖREBRO LÄN</t>
        </is>
      </c>
      <c r="E44" t="inlineStr">
        <is>
          <t>KUMLA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15781-2024</t>
        </is>
      </c>
      <c r="B45" s="1" t="n">
        <v>45404</v>
      </c>
      <c r="C45" s="1" t="n">
        <v>46198</v>
      </c>
      <c r="D45" t="inlineStr">
        <is>
          <t>ÖREBRO LÄN</t>
        </is>
      </c>
      <c r="E45" t="inlineStr">
        <is>
          <t>KUMLA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8460-2023</t>
        </is>
      </c>
      <c r="B46" s="1" t="n">
        <v>44977</v>
      </c>
      <c r="C46" s="1" t="n">
        <v>46198</v>
      </c>
      <c r="D46" t="inlineStr">
        <is>
          <t>ÖREBRO LÄN</t>
        </is>
      </c>
      <c r="E46" t="inlineStr">
        <is>
          <t>KUMLA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4102-2025</t>
        </is>
      </c>
      <c r="B47" s="1" t="n">
        <v>45684</v>
      </c>
      <c r="C47" s="1" t="n">
        <v>46198</v>
      </c>
      <c r="D47" t="inlineStr">
        <is>
          <t>ÖREBRO LÄN</t>
        </is>
      </c>
      <c r="E47" t="inlineStr">
        <is>
          <t>KUMLA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601-2026</t>
        </is>
      </c>
      <c r="B48" s="1" t="n">
        <v>46023</v>
      </c>
      <c r="C48" s="1" t="n">
        <v>46198</v>
      </c>
      <c r="D48" t="inlineStr">
        <is>
          <t>ÖREBRO LÄN</t>
        </is>
      </c>
      <c r="E48" t="inlineStr">
        <is>
          <t>KUMLA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56730-2024</t>
        </is>
      </c>
      <c r="B49" s="1" t="n">
        <v>45628</v>
      </c>
      <c r="C49" s="1" t="n">
        <v>46198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11141-2023</t>
        </is>
      </c>
      <c r="B50" s="1" t="n">
        <v>44992</v>
      </c>
      <c r="C50" s="1" t="n">
        <v>46198</v>
      </c>
      <c r="D50" t="inlineStr">
        <is>
          <t>ÖREBRO LÄN</t>
        </is>
      </c>
      <c r="E50" t="inlineStr">
        <is>
          <t>KUMLA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32725-2022</t>
        </is>
      </c>
      <c r="B51" s="1" t="n">
        <v>44783</v>
      </c>
      <c r="C51" s="1" t="n">
        <v>46198</v>
      </c>
      <c r="D51" t="inlineStr">
        <is>
          <t>ÖREBRO LÄN</t>
        </is>
      </c>
      <c r="E51" t="inlineStr">
        <is>
          <t>KUMLA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323-2024</t>
        </is>
      </c>
      <c r="B52" s="1" t="n">
        <v>45295</v>
      </c>
      <c r="C52" s="1" t="n">
        <v>46198</v>
      </c>
      <c r="D52" t="inlineStr">
        <is>
          <t>ÖREBRO LÄN</t>
        </is>
      </c>
      <c r="E52" t="inlineStr">
        <is>
          <t>KUMLA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7270-2026</t>
        </is>
      </c>
      <c r="B53" s="1" t="n">
        <v>46058</v>
      </c>
      <c r="C53" s="1" t="n">
        <v>46198</v>
      </c>
      <c r="D53" t="inlineStr">
        <is>
          <t>ÖREBRO LÄN</t>
        </is>
      </c>
      <c r="E53" t="inlineStr">
        <is>
          <t>KUMLA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43661-2023</t>
        </is>
      </c>
      <c r="B54" s="1" t="n">
        <v>45187</v>
      </c>
      <c r="C54" s="1" t="n">
        <v>46198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7272-2026</t>
        </is>
      </c>
      <c r="B55" s="1" t="n">
        <v>46058</v>
      </c>
      <c r="C55" s="1" t="n">
        <v>46198</v>
      </c>
      <c r="D55" t="inlineStr">
        <is>
          <t>ÖREBRO LÄN</t>
        </is>
      </c>
      <c r="E55" t="inlineStr">
        <is>
          <t>KUMLA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38768-2022</t>
        </is>
      </c>
      <c r="B56" s="1" t="n">
        <v>44816</v>
      </c>
      <c r="C56" s="1" t="n">
        <v>46198</v>
      </c>
      <c r="D56" t="inlineStr">
        <is>
          <t>ÖREBRO LÄN</t>
        </is>
      </c>
      <c r="E56" t="inlineStr">
        <is>
          <t>KUMLA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11683-2026</t>
        </is>
      </c>
      <c r="B57" s="1" t="n">
        <v>46084</v>
      </c>
      <c r="C57" s="1" t="n">
        <v>46198</v>
      </c>
      <c r="D57" t="inlineStr">
        <is>
          <t>ÖREBRO LÄN</t>
        </is>
      </c>
      <c r="E57" t="inlineStr">
        <is>
          <t>KUMLA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3920-2024</t>
        </is>
      </c>
      <c r="B58" s="1" t="n">
        <v>45322</v>
      </c>
      <c r="C58" s="1" t="n">
        <v>46198</v>
      </c>
      <c r="D58" t="inlineStr">
        <is>
          <t>ÖREBRO LÄN</t>
        </is>
      </c>
      <c r="E58" t="inlineStr">
        <is>
          <t>KUMLA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36237-2024</t>
        </is>
      </c>
      <c r="B59" s="1" t="n">
        <v>45534</v>
      </c>
      <c r="C59" s="1" t="n">
        <v>46198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51239-2023</t>
        </is>
      </c>
      <c r="B60" s="1" t="n">
        <v>45219</v>
      </c>
      <c r="C60" s="1" t="n">
        <v>46198</v>
      </c>
      <c r="D60" t="inlineStr">
        <is>
          <t>ÖREBRO LÄN</t>
        </is>
      </c>
      <c r="E60" t="inlineStr">
        <is>
          <t>KUMLA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5781-2022</t>
        </is>
      </c>
      <c r="B61" s="1" t="n">
        <v>44596</v>
      </c>
      <c r="C61" s="1" t="n">
        <v>46198</v>
      </c>
      <c r="D61" t="inlineStr">
        <is>
          <t>ÖREBRO LÄN</t>
        </is>
      </c>
      <c r="E61" t="inlineStr">
        <is>
          <t>KUMLA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55340-2024</t>
        </is>
      </c>
      <c r="B62" s="1" t="n">
        <v>45621</v>
      </c>
      <c r="C62" s="1" t="n">
        <v>46198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15356-2023</t>
        </is>
      </c>
      <c r="B63" s="1" t="n">
        <v>45019</v>
      </c>
      <c r="C63" s="1" t="n">
        <v>46198</v>
      </c>
      <c r="D63" t="inlineStr">
        <is>
          <t>ÖREBRO LÄN</t>
        </is>
      </c>
      <c r="E63" t="inlineStr">
        <is>
          <t>KUMLA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32859-2022</t>
        </is>
      </c>
      <c r="B64" s="1" t="n">
        <v>44784</v>
      </c>
      <c r="C64" s="1" t="n">
        <v>46198</v>
      </c>
      <c r="D64" t="inlineStr">
        <is>
          <t>ÖREBRO LÄN</t>
        </is>
      </c>
      <c r="E64" t="inlineStr">
        <is>
          <t>KUMLA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40275-2024</t>
        </is>
      </c>
      <c r="B65" s="1" t="n">
        <v>45554</v>
      </c>
      <c r="C65" s="1" t="n">
        <v>46198</v>
      </c>
      <c r="D65" t="inlineStr">
        <is>
          <t>ÖREBRO LÄN</t>
        </is>
      </c>
      <c r="E65" t="inlineStr">
        <is>
          <t>KUMLA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38343-2024</t>
        </is>
      </c>
      <c r="B66" s="1" t="n">
        <v>45545</v>
      </c>
      <c r="C66" s="1" t="n">
        <v>46198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1478-2023</t>
        </is>
      </c>
      <c r="B67" s="1" t="n">
        <v>44937</v>
      </c>
      <c r="C67" s="1" t="n">
        <v>46198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65076-2023</t>
        </is>
      </c>
      <c r="B68" s="1" t="n">
        <v>45287</v>
      </c>
      <c r="C68" s="1" t="n">
        <v>46198</v>
      </c>
      <c r="D68" t="inlineStr">
        <is>
          <t>ÖREBRO LÄN</t>
        </is>
      </c>
      <c r="E68" t="inlineStr">
        <is>
          <t>KUMLA</t>
        </is>
      </c>
      <c r="F68" t="inlineStr">
        <is>
          <t>Kommuner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54080-2023</t>
        </is>
      </c>
      <c r="B69" s="1" t="n">
        <v>45225</v>
      </c>
      <c r="C69" s="1" t="n">
        <v>46198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38335-2024</t>
        </is>
      </c>
      <c r="B70" s="1" t="n">
        <v>45545</v>
      </c>
      <c r="C70" s="1" t="n">
        <v>46198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38871-2024</t>
        </is>
      </c>
      <c r="B71" s="1" t="n">
        <v>45547</v>
      </c>
      <c r="C71" s="1" t="n">
        <v>46198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58657-2024</t>
        </is>
      </c>
      <c r="B72" s="1" t="n">
        <v>45632</v>
      </c>
      <c r="C72" s="1" t="n">
        <v>46198</v>
      </c>
      <c r="D72" t="inlineStr">
        <is>
          <t>ÖREBRO LÄN</t>
        </is>
      </c>
      <c r="E72" t="inlineStr">
        <is>
          <t>KUMLA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6266-2025</t>
        </is>
      </c>
      <c r="B73" s="1" t="n">
        <v>45698</v>
      </c>
      <c r="C73" s="1" t="n">
        <v>46198</v>
      </c>
      <c r="D73" t="inlineStr">
        <is>
          <t>ÖREBRO LÄN</t>
        </is>
      </c>
      <c r="E73" t="inlineStr">
        <is>
          <t>KUMLA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23225-2025</t>
        </is>
      </c>
      <c r="B74" s="1" t="n">
        <v>45791</v>
      </c>
      <c r="C74" s="1" t="n">
        <v>46198</v>
      </c>
      <c r="D74" t="inlineStr">
        <is>
          <t>ÖREBRO LÄN</t>
        </is>
      </c>
      <c r="E74" t="inlineStr">
        <is>
          <t>KUMLA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23221-2025</t>
        </is>
      </c>
      <c r="B75" s="1" t="n">
        <v>45791</v>
      </c>
      <c r="C75" s="1" t="n">
        <v>46198</v>
      </c>
      <c r="D75" t="inlineStr">
        <is>
          <t>ÖREBRO LÄN</t>
        </is>
      </c>
      <c r="E75" t="inlineStr">
        <is>
          <t>KUMLA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30465-2025</t>
        </is>
      </c>
      <c r="B76" s="1" t="n">
        <v>45827</v>
      </c>
      <c r="C76" s="1" t="n">
        <v>46198</v>
      </c>
      <c r="D76" t="inlineStr">
        <is>
          <t>ÖREBRO LÄN</t>
        </is>
      </c>
      <c r="E76" t="inlineStr">
        <is>
          <t>KUMLA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30466-2025</t>
        </is>
      </c>
      <c r="B77" s="1" t="n">
        <v>45827</v>
      </c>
      <c r="C77" s="1" t="n">
        <v>46198</v>
      </c>
      <c r="D77" t="inlineStr">
        <is>
          <t>ÖREBRO LÄN</t>
        </is>
      </c>
      <c r="E77" t="inlineStr">
        <is>
          <t>KUMLA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54080-2024</t>
        </is>
      </c>
      <c r="B78" s="1" t="n">
        <v>45616</v>
      </c>
      <c r="C78" s="1" t="n">
        <v>46198</v>
      </c>
      <c r="D78" t="inlineStr">
        <is>
          <t>ÖREBRO LÄN</t>
        </is>
      </c>
      <c r="E78" t="inlineStr">
        <is>
          <t>KUMLA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2026-06-25T00:45:17Z</dcterms:created>
  <dcterms:modified xmlns:dcterms="http://purl.org/dc/terms/" xmlns:xsi="http://www.w3.org/2001/XMLSchema-instance" xsi:type="dcterms:W3CDTF">2026-06-25T00:45:18Z</dcterms:modified>
</cp:coreProperties>
</file>
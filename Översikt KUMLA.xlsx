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421-2021</t>
        </is>
      </c>
      <c r="B2" t="inlineStr">
        <is>
          <t>samrådsanmälan</t>
        </is>
      </c>
      <c r="C2" t="inlineStr">
        <is>
          <t>Åtgärd i nyckelbiotop</t>
        </is>
      </c>
      <c r="D2" s="1" t="n">
        <v>44258</v>
      </c>
      <c r="E2" s="1" t="n">
        <v>46312</v>
      </c>
      <c r="F2" t="inlineStr">
        <is>
          <t>ÖREBRO LÄN</t>
        </is>
      </c>
      <c r="G2" t="inlineStr">
        <is>
          <t>KUMLA</t>
        </is>
      </c>
      <c r="I2" t="n">
        <v>13.8</v>
      </c>
      <c r="J2" t="n">
        <v>7</v>
      </c>
      <c r="K2" t="n">
        <v>7</v>
      </c>
      <c r="L2" t="n">
        <v>7</v>
      </c>
      <c r="M2" t="n">
        <v>0</v>
      </c>
      <c r="N2" t="n">
        <v>1</v>
      </c>
      <c r="O2" t="n">
        <v>0</v>
      </c>
      <c r="P2" t="n">
        <v>0</v>
      </c>
      <c r="Q2" t="n">
        <v>8</v>
      </c>
      <c r="R2" t="n">
        <v>1</v>
      </c>
      <c r="S2" t="n">
        <v>18</v>
      </c>
      <c r="T2" t="n">
        <v>137</v>
      </c>
      <c r="U2" t="n">
        <v>137</v>
      </c>
      <c r="V2" s="2" t="inlineStr">
        <is>
          <t>Skogsalm
Entita
Grönsångare
Gullpudra
Mindre hackspett
Sårläka
Ullticka
Vårärt
Brandticka
Nästrot
Scharlakansvårskål agg.
Stubbspretmossa
Svart trolldruva
Trubbfjädermossa
Vätteros
Blåsippa
Kungsfågel
Svartvit flugsnappare</t>
        </is>
      </c>
      <c r="W2">
        <f>HYPERLINK("https://klasma.github.io/Logging_1881/artfynd/S 421-2021 artfynd.xlsx", "S 421-2021")</f>
        <v/>
      </c>
      <c r="X2">
        <f>HYPERLINK("https://klasma.github.io/Logging_1881/kartor/S 421-2021 karta.png", "S 421-2021")</f>
        <v/>
      </c>
      <c r="Y2">
        <f>HYPERLINK("https://klasma.github.io/Logging_1881/kartor_geotiff/S 421-2021 georefererad karta.tif", "S 421-2021")</f>
        <v/>
      </c>
      <c r="AA2">
        <f>HYPERLINK("https://klasma.github.io/Logging_1881/klagomål/S 421-2021 FSC-klagomål.docx", "S 421-2021")</f>
        <v/>
      </c>
      <c r="AB2">
        <f>HYPERLINK("https://klasma.github.io/Logging_1881/klagomålsmail/S 421-2021 FSC-klagomål mail.docx", "S 421-2021")</f>
        <v/>
      </c>
      <c r="AC2">
        <f>HYPERLINK("https://klasma.github.io/Logging_1881/tillsyn/S 421-2021 tillsynsbegäran.docx", "S 421-2021")</f>
        <v/>
      </c>
      <c r="AD2">
        <f>HYPERLINK("https://klasma.github.io/Logging_1881/tillsynsmail/S 421-2021 tillsynsbegäran mail.docx", "S 421-2021")</f>
        <v/>
      </c>
      <c r="AE2">
        <f>HYPERLINK("https://klasma.github.io/Logging_1881/fåglar/S 421-2021 prioriterade fågelarter.docx", "S 421-2021")</f>
        <v/>
      </c>
    </row>
    <row r="3" ht="15" customHeight="1">
      <c r="A3" t="inlineStr">
        <is>
          <t>A 54112-2022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44879</v>
      </c>
      <c r="E3" s="1" t="n">
        <v>46312</v>
      </c>
      <c r="F3" t="inlineStr">
        <is>
          <t>ÖREBRO LÄN</t>
        </is>
      </c>
      <c r="G3" t="inlineStr">
        <is>
          <t>KUMLA</t>
        </is>
      </c>
      <c r="H3" t="inlineStr">
        <is>
          <t>Kommuner</t>
        </is>
      </c>
      <c r="I3" t="n">
        <v>2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4</v>
      </c>
      <c r="T3" t="n">
        <v>4</v>
      </c>
      <c r="U3" t="n">
        <v>1</v>
      </c>
      <c r="V3" s="2" t="inlineStr">
        <is>
          <t>Sexfläckig bastardsvärmare
Svartvit flugsnappare
Sävsparv
Skogsödla</t>
        </is>
      </c>
      <c r="W3">
        <f>HYPERLINK("https://klasma.github.io/Logging_1881/artfynd/A 54112-2022 artfynd.xlsx", "A 54112-2022")</f>
        <v/>
      </c>
      <c r="X3">
        <f>HYPERLINK("https://klasma.github.io/Logging_1881/kartor/A 54112-2022 karta.png", "A 54112-2022")</f>
        <v/>
      </c>
      <c r="Y3">
        <f>HYPERLINK("https://klasma.github.io/Logging_1881/kartor_geotiff/A 54112-2022 georefererad karta.tif", "A 54112-2022")</f>
        <v/>
      </c>
      <c r="AA3">
        <f>HYPERLINK("https://klasma.github.io/Logging_1881/klagomål/A 54112-2022 FSC-klagomål.docx", "A 54112-2022")</f>
        <v/>
      </c>
      <c r="AB3">
        <f>HYPERLINK("https://klasma.github.io/Logging_1881/klagomålsmail/A 54112-2022 FSC-klagomål mail.docx", "A 54112-2022")</f>
        <v/>
      </c>
      <c r="AC3">
        <f>HYPERLINK("https://klasma.github.io/Logging_1881/tillsyn/A 54112-2022 tillsynsbegäran.docx", "A 54112-2022")</f>
        <v/>
      </c>
      <c r="AD3">
        <f>HYPERLINK("https://klasma.github.io/Logging_1881/tillsynsmail/A 54112-2022 tillsynsbegäran mail.docx", "A 54112-2022")</f>
        <v/>
      </c>
      <c r="AE3">
        <f>HYPERLINK("https://klasma.github.io/Logging_1881/fåglar/A 54112-2022 prioriterade fågelarter.docx", "A 54112-2022")</f>
        <v/>
      </c>
    </row>
    <row r="4" ht="15" customHeight="1">
      <c r="A4" t="inlineStr">
        <is>
          <t>A 55286-2024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45621</v>
      </c>
      <c r="E4" s="1" t="n">
        <v>46312</v>
      </c>
      <c r="F4" t="inlineStr">
        <is>
          <t>ÖREBRO LÄN</t>
        </is>
      </c>
      <c r="G4" t="inlineStr">
        <is>
          <t>KUMLA</t>
        </is>
      </c>
      <c r="I4" t="n">
        <v>2.3</v>
      </c>
      <c r="J4" t="n">
        <v>3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3</v>
      </c>
      <c r="T4" t="n">
        <v>3</v>
      </c>
      <c r="U4" t="n">
        <v>0</v>
      </c>
      <c r="V4" s="2" t="inlineStr">
        <is>
          <t>Grönsångare
Gröngöling
Törnskata</t>
        </is>
      </c>
      <c r="W4">
        <f>HYPERLINK("https://klasma.github.io/Logging_1881/artfynd/A 55286-2024 artfynd.xlsx", "A 55286-2024")</f>
        <v/>
      </c>
      <c r="X4">
        <f>HYPERLINK("https://klasma.github.io/Logging_1881/kartor/A 55286-2024 karta.png", "A 55286-2024")</f>
        <v/>
      </c>
      <c r="Y4">
        <f>HYPERLINK("https://klasma.github.io/Logging_1881/kartor_geotiff/A 55286-2024 georefererad karta.tif", "A 55286-2024")</f>
        <v/>
      </c>
      <c r="AA4">
        <f>HYPERLINK("https://klasma.github.io/Logging_1881/klagomål/A 55286-2024 FSC-klagomål.docx", "A 55286-2024")</f>
        <v/>
      </c>
      <c r="AB4">
        <f>HYPERLINK("https://klasma.github.io/Logging_1881/klagomålsmail/A 55286-2024 FSC-klagomål mail.docx", "A 55286-2024")</f>
        <v/>
      </c>
      <c r="AC4">
        <f>HYPERLINK("https://klasma.github.io/Logging_1881/tillsyn/A 55286-2024 tillsynsbegäran.docx", "A 55286-2024")</f>
        <v/>
      </c>
      <c r="AD4">
        <f>HYPERLINK("https://klasma.github.io/Logging_1881/tillsynsmail/A 55286-2024 tillsynsbegäran mail.docx", "A 55286-2024")</f>
        <v/>
      </c>
      <c r="AE4">
        <f>HYPERLINK("https://klasma.github.io/Logging_1881/fåglar/A 55286-2024 prioriterade fågelarter.docx", "A 55286-2024")</f>
        <v/>
      </c>
    </row>
    <row r="5" ht="15" customHeight="1">
      <c r="A5" t="inlineStr">
        <is>
          <t>A 15615-2025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45748</v>
      </c>
      <c r="E5" s="1" t="n">
        <v>46312</v>
      </c>
      <c r="F5" t="inlineStr">
        <is>
          <t>ÖREBRO LÄN</t>
        </is>
      </c>
      <c r="G5" t="inlineStr">
        <is>
          <t>KUMLA</t>
        </is>
      </c>
      <c r="I5" t="n">
        <v>1.5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s="2" t="inlineStr">
        <is>
          <t>Åkerkål</t>
        </is>
      </c>
      <c r="W5">
        <f>HYPERLINK("https://klasma.github.io/Logging_1881/artfynd/A 15615-2025 artfynd.xlsx", "A 15615-2025")</f>
        <v/>
      </c>
      <c r="X5">
        <f>HYPERLINK("https://klasma.github.io/Logging_1881/kartor/A 15615-2025 karta.png", "A 15615-2025")</f>
        <v/>
      </c>
      <c r="Y5">
        <f>HYPERLINK("https://klasma.github.io/Logging_1881/kartor_geotiff/A 15615-2025 georefererad karta.tif", "A 15615-2025")</f>
        <v/>
      </c>
      <c r="AA5">
        <f>HYPERLINK("https://klasma.github.io/Logging_1881/klagomål/A 15615-2025 FSC-klagomål.docx", "A 15615-2025")</f>
        <v/>
      </c>
      <c r="AB5">
        <f>HYPERLINK("https://klasma.github.io/Logging_1881/klagomålsmail/A 15615-2025 FSC-klagomål mail.docx", "A 15615-2025")</f>
        <v/>
      </c>
      <c r="AC5">
        <f>HYPERLINK("https://klasma.github.io/Logging_1881/tillsyn/A 15615-2025 tillsynsbegäran.docx", "A 15615-2025")</f>
        <v/>
      </c>
      <c r="AD5">
        <f>HYPERLINK("https://klasma.github.io/Logging_1881/tillsynsmail/A 15615-2025 tillsynsbegäran mail.docx", "A 15615-2025")</f>
        <v/>
      </c>
    </row>
    <row r="6" ht="15" customHeight="1">
      <c r="A6" t="inlineStr">
        <is>
          <t>A 32864-2022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44784</v>
      </c>
      <c r="E6" s="1" t="n">
        <v>46312</v>
      </c>
      <c r="F6" t="inlineStr">
        <is>
          <t>ÖREBRO LÄN</t>
        </is>
      </c>
      <c r="G6" t="inlineStr">
        <is>
          <t>KUMLA</t>
        </is>
      </c>
      <c r="I6" t="n">
        <v>4.5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24077-2022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44723</v>
      </c>
      <c r="E7" s="1" t="n">
        <v>46312</v>
      </c>
      <c r="F7" t="inlineStr">
        <is>
          <t>ÖREBRO LÄN</t>
        </is>
      </c>
      <c r="G7" t="inlineStr">
        <is>
          <t>KUMLA</t>
        </is>
      </c>
      <c r="I7" t="n">
        <v>1.1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23648-2024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45454</v>
      </c>
      <c r="E8" s="1" t="n">
        <v>46312</v>
      </c>
      <c r="F8" t="inlineStr">
        <is>
          <t>ÖREBRO LÄN</t>
        </is>
      </c>
      <c r="G8" t="inlineStr">
        <is>
          <t>KUMLA</t>
        </is>
      </c>
      <c r="H8" t="inlineStr">
        <is>
          <t>Kommuner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57949-2024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45631</v>
      </c>
      <c r="E9" s="1" t="n">
        <v>46312</v>
      </c>
      <c r="F9" t="inlineStr">
        <is>
          <t>ÖREBRO LÄN</t>
        </is>
      </c>
      <c r="G9" t="inlineStr">
        <is>
          <t>KUMLA</t>
        </is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52192-2024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45608</v>
      </c>
      <c r="E10" s="1" t="n">
        <v>46312</v>
      </c>
      <c r="F10" t="inlineStr">
        <is>
          <t>ÖREBRO LÄN</t>
        </is>
      </c>
      <c r="G10" t="inlineStr">
        <is>
          <t>KUMLA</t>
        </is>
      </c>
      <c r="I10" t="n">
        <v>14.7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52180-2024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45608</v>
      </c>
      <c r="E11" s="1" t="n">
        <v>46312</v>
      </c>
      <c r="F11" t="inlineStr">
        <is>
          <t>ÖREBRO LÄN</t>
        </is>
      </c>
      <c r="G11" t="inlineStr">
        <is>
          <t>KUMLA</t>
        </is>
      </c>
      <c r="I11" t="n">
        <v>3.3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57944-2024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45631</v>
      </c>
      <c r="E12" s="1" t="n">
        <v>46312</v>
      </c>
      <c r="F12" t="inlineStr">
        <is>
          <t>ÖREBRO LÄN</t>
        </is>
      </c>
      <c r="G12" t="inlineStr">
        <is>
          <t>KUMLA</t>
        </is>
      </c>
      <c r="I12" t="n">
        <v>0.6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55442-2022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44887</v>
      </c>
      <c r="E13" s="1" t="n">
        <v>46312</v>
      </c>
      <c r="F13" t="inlineStr">
        <is>
          <t>ÖREBRO LÄN</t>
        </is>
      </c>
      <c r="G13" t="inlineStr">
        <is>
          <t>KUMLA</t>
        </is>
      </c>
      <c r="I13" t="n">
        <v>3.2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8612-2023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44977</v>
      </c>
      <c r="E14" s="1" t="n">
        <v>46312</v>
      </c>
      <c r="F14" t="inlineStr">
        <is>
          <t>ÖREBRO LÄN</t>
        </is>
      </c>
      <c r="G14" t="inlineStr">
        <is>
          <t>KUMLA</t>
        </is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30806-2024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45497</v>
      </c>
      <c r="E15" s="1" t="n">
        <v>46312</v>
      </c>
      <c r="F15" t="inlineStr">
        <is>
          <t>ÖREBRO LÄN</t>
        </is>
      </c>
      <c r="G15" t="inlineStr">
        <is>
          <t>KUMLA</t>
        </is>
      </c>
      <c r="I15" t="n">
        <v>2.9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51940-2024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45607</v>
      </c>
      <c r="E16" s="1" t="n">
        <v>46312</v>
      </c>
      <c r="F16" t="inlineStr">
        <is>
          <t>ÖREBRO LÄN</t>
        </is>
      </c>
      <c r="G16" t="inlineStr">
        <is>
          <t>KUMLA</t>
        </is>
      </c>
      <c r="I16" t="n">
        <v>3.5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55208-2023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45237</v>
      </c>
      <c r="E17" s="1" t="n">
        <v>46312</v>
      </c>
      <c r="F17" t="inlineStr">
        <is>
          <t>ÖREBRO LÄN</t>
        </is>
      </c>
      <c r="G17" t="inlineStr">
        <is>
          <t>KUMLA</t>
        </is>
      </c>
      <c r="I17" t="n">
        <v>3.5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3872-2023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44951</v>
      </c>
      <c r="E18" s="1" t="n">
        <v>46312</v>
      </c>
      <c r="F18" t="inlineStr">
        <is>
          <t>ÖREBRO LÄN</t>
        </is>
      </c>
      <c r="G18" t="inlineStr">
        <is>
          <t>KUMLA</t>
        </is>
      </c>
      <c r="I18" t="n">
        <v>4.4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8687-2023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44978</v>
      </c>
      <c r="E19" s="1" t="n">
        <v>46312</v>
      </c>
      <c r="F19" t="inlineStr">
        <is>
          <t>ÖREBRO LÄN</t>
        </is>
      </c>
      <c r="G19" t="inlineStr">
        <is>
          <t>KUMLA</t>
        </is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43706-2022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44837</v>
      </c>
      <c r="E20" s="1" t="n">
        <v>46312</v>
      </c>
      <c r="F20" t="inlineStr">
        <is>
          <t>ÖREBRO LÄN</t>
        </is>
      </c>
      <c r="G20" t="inlineStr">
        <is>
          <t>KUMLA</t>
        </is>
      </c>
      <c r="I20" t="n">
        <v>3.7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17920-2025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45758</v>
      </c>
      <c r="E21" s="1" t="n">
        <v>46312</v>
      </c>
      <c r="F21" t="inlineStr">
        <is>
          <t>ÖREBRO LÄN</t>
        </is>
      </c>
      <c r="G21" t="inlineStr">
        <is>
          <t>KUMLA</t>
        </is>
      </c>
      <c r="I21" t="n">
        <v>2.4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38615-2024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45546</v>
      </c>
      <c r="E22" s="1" t="n">
        <v>46312</v>
      </c>
      <c r="F22" t="inlineStr">
        <is>
          <t>ÖREBRO LÄN</t>
        </is>
      </c>
      <c r="G22" t="inlineStr">
        <is>
          <t>KUMLA</t>
        </is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8852-2023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44978</v>
      </c>
      <c r="E23" s="1" t="n">
        <v>46312</v>
      </c>
      <c r="F23" t="inlineStr">
        <is>
          <t>ÖREBRO LÄN</t>
        </is>
      </c>
      <c r="G23" t="inlineStr">
        <is>
          <t>KUMLA</t>
        </is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4100-2025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45684</v>
      </c>
      <c r="E24" s="1" t="n">
        <v>46312</v>
      </c>
      <c r="F24" t="inlineStr">
        <is>
          <t>ÖREBRO LÄN</t>
        </is>
      </c>
      <c r="G24" t="inlineStr">
        <is>
          <t>KUMLA</t>
        </is>
      </c>
      <c r="I24" t="n">
        <v>1.7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40897-2023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45173</v>
      </c>
      <c r="E25" s="1" t="n">
        <v>46312</v>
      </c>
      <c r="F25" t="inlineStr">
        <is>
          <t>ÖREBRO LÄN</t>
        </is>
      </c>
      <c r="G25" t="inlineStr">
        <is>
          <t>KUMLA</t>
        </is>
      </c>
      <c r="I25" t="n">
        <v>4.7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4102-2025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45684</v>
      </c>
      <c r="E26" s="1" t="n">
        <v>46312</v>
      </c>
      <c r="F26" t="inlineStr">
        <is>
          <t>ÖREBRO LÄN</t>
        </is>
      </c>
      <c r="G26" t="inlineStr">
        <is>
          <t>KUMLA</t>
        </is>
      </c>
      <c r="I26" t="n">
        <v>1.6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38193-2024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45545</v>
      </c>
      <c r="E27" s="1" t="n">
        <v>46312</v>
      </c>
      <c r="F27" t="inlineStr">
        <is>
          <t>ÖREBRO LÄN</t>
        </is>
      </c>
      <c r="G27" t="inlineStr">
        <is>
          <t>KUMLA</t>
        </is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3873-2023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44951</v>
      </c>
      <c r="E28" s="1" t="n">
        <v>46312</v>
      </c>
      <c r="F28" t="inlineStr">
        <is>
          <t>ÖREBRO LÄN</t>
        </is>
      </c>
      <c r="G28" t="inlineStr">
        <is>
          <t>KUMLA</t>
        </is>
      </c>
      <c r="I28" t="n">
        <v>1.7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21921-2023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45068</v>
      </c>
      <c r="E29" s="1" t="n">
        <v>46312</v>
      </c>
      <c r="F29" t="inlineStr">
        <is>
          <t>ÖREBRO LÄN</t>
        </is>
      </c>
      <c r="G29" t="inlineStr">
        <is>
          <t>KUMLA</t>
        </is>
      </c>
      <c r="I29" t="n">
        <v>5.7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29680-2023</t>
        </is>
      </c>
      <c r="B30" t="inlineStr">
        <is>
          <t>avverkningsanmälan</t>
        </is>
      </c>
      <c r="C30" t="inlineStr">
        <is>
          <t>Avverkning för annat ändamål</t>
        </is>
      </c>
      <c r="D30" s="1" t="n">
        <v>45098</v>
      </c>
      <c r="E30" s="1" t="n">
        <v>46312</v>
      </c>
      <c r="F30" t="inlineStr">
        <is>
          <t>ÖREBRO LÄN</t>
        </is>
      </c>
      <c r="G30" t="inlineStr">
        <is>
          <t>KUMLA</t>
        </is>
      </c>
      <c r="I30" t="n">
        <v>0.8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16132-2023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45027</v>
      </c>
      <c r="E31" s="1" t="n">
        <v>46312</v>
      </c>
      <c r="F31" t="inlineStr">
        <is>
          <t>ÖREBRO LÄN</t>
        </is>
      </c>
      <c r="G31" t="inlineStr">
        <is>
          <t>KUMLA</t>
        </is>
      </c>
      <c r="I31" t="n">
        <v>2.7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12-2025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45658</v>
      </c>
      <c r="E32" s="1" t="n">
        <v>46312</v>
      </c>
      <c r="F32" t="inlineStr">
        <is>
          <t>ÖREBRO LÄN</t>
        </is>
      </c>
      <c r="G32" t="inlineStr">
        <is>
          <t>KUMLA</t>
        </is>
      </c>
      <c r="I32" t="n">
        <v>2.4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6315-2024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45338</v>
      </c>
      <c r="E33" s="1" t="n">
        <v>46312</v>
      </c>
      <c r="F33" t="inlineStr">
        <is>
          <t>ÖREBRO LÄN</t>
        </is>
      </c>
      <c r="G33" t="inlineStr">
        <is>
          <t>KUMLA</t>
        </is>
      </c>
      <c r="I33" t="n">
        <v>4.7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2653-2024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45314</v>
      </c>
      <c r="E34" s="1" t="n">
        <v>46312</v>
      </c>
      <c r="F34" t="inlineStr">
        <is>
          <t>ÖREBRO LÄN</t>
        </is>
      </c>
      <c r="G34" t="inlineStr">
        <is>
          <t>KUMLA</t>
        </is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56712-2024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45628</v>
      </c>
      <c r="E35" s="1" t="n">
        <v>46312</v>
      </c>
      <c r="F35" t="inlineStr">
        <is>
          <t>ÖREBRO LÄN</t>
        </is>
      </c>
      <c r="G35" t="inlineStr">
        <is>
          <t>KUMLA</t>
        </is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15781-2024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45404</v>
      </c>
      <c r="E36" s="1" t="n">
        <v>46312</v>
      </c>
      <c r="F36" t="inlineStr">
        <is>
          <t>ÖREBRO LÄN</t>
        </is>
      </c>
      <c r="G36" t="inlineStr">
        <is>
          <t>KUMLA</t>
        </is>
      </c>
      <c r="I36" t="n">
        <v>4.2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8460-2023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44977</v>
      </c>
      <c r="E37" s="1" t="n">
        <v>46312</v>
      </c>
      <c r="F37" t="inlineStr">
        <is>
          <t>ÖREBRO LÄN</t>
        </is>
      </c>
      <c r="G37" t="inlineStr">
        <is>
          <t>KUMLA</t>
        </is>
      </c>
      <c r="I37" t="n">
        <v>1.6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601-2026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46023</v>
      </c>
      <c r="E38" s="1" t="n">
        <v>46312</v>
      </c>
      <c r="F38" t="inlineStr">
        <is>
          <t>ÖREBRO LÄN</t>
        </is>
      </c>
      <c r="G38" t="inlineStr">
        <is>
          <t>KUMLA</t>
        </is>
      </c>
      <c r="I38" t="n">
        <v>3.8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56730-2024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45628</v>
      </c>
      <c r="E39" s="1" t="n">
        <v>46312</v>
      </c>
      <c r="F39" t="inlineStr">
        <is>
          <t>ÖREBRO LÄN</t>
        </is>
      </c>
      <c r="G39" t="inlineStr">
        <is>
          <t>KUMLA</t>
        </is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11141-2023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44992</v>
      </c>
      <c r="E40" s="1" t="n">
        <v>46312</v>
      </c>
      <c r="F40" t="inlineStr">
        <is>
          <t>ÖREBRO LÄN</t>
        </is>
      </c>
      <c r="G40" t="inlineStr">
        <is>
          <t>KUMLA</t>
        </is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32725-2022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44783</v>
      </c>
      <c r="E41" s="1" t="n">
        <v>46312</v>
      </c>
      <c r="F41" t="inlineStr">
        <is>
          <t>ÖREBRO LÄN</t>
        </is>
      </c>
      <c r="G41" t="inlineStr">
        <is>
          <t>KUMLA</t>
        </is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7270-2026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46058</v>
      </c>
      <c r="E42" s="1" t="n">
        <v>46312</v>
      </c>
      <c r="F42" t="inlineStr">
        <is>
          <t>ÖREBRO LÄN</t>
        </is>
      </c>
      <c r="G42" t="inlineStr">
        <is>
          <t>KUMLA</t>
        </is>
      </c>
      <c r="I42" t="n">
        <v>4.5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7272-2026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46058</v>
      </c>
      <c r="E43" s="1" t="n">
        <v>46312</v>
      </c>
      <c r="F43" t="inlineStr">
        <is>
          <t>ÖREBRO LÄN</t>
        </is>
      </c>
      <c r="G43" t="inlineStr">
        <is>
          <t>KUMLA</t>
        </is>
      </c>
      <c r="I43" t="n">
        <v>0.4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27541-2026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46185</v>
      </c>
      <c r="E44" s="1" t="n">
        <v>46312</v>
      </c>
      <c r="F44" t="inlineStr">
        <is>
          <t>ÖREBRO LÄN</t>
        </is>
      </c>
      <c r="G44" t="inlineStr">
        <is>
          <t>KUMLA</t>
        </is>
      </c>
      <c r="I44" t="n">
        <v>4.1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323-2024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45295</v>
      </c>
      <c r="E45" s="1" t="n">
        <v>46312</v>
      </c>
      <c r="F45" t="inlineStr">
        <is>
          <t>ÖREBRO LÄN</t>
        </is>
      </c>
      <c r="G45" t="inlineStr">
        <is>
          <t>KUMLA</t>
        </is>
      </c>
      <c r="I45" t="n">
        <v>1.8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11683-2026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46084</v>
      </c>
      <c r="E46" s="1" t="n">
        <v>46312</v>
      </c>
      <c r="F46" t="inlineStr">
        <is>
          <t>ÖREBRO LÄN</t>
        </is>
      </c>
      <c r="G46" t="inlineStr">
        <is>
          <t>KUMLA</t>
        </is>
      </c>
      <c r="H46" t="inlineStr">
        <is>
          <t>Kommuner</t>
        </is>
      </c>
      <c r="I46" t="n">
        <v>0.9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43661-2023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45187</v>
      </c>
      <c r="E47" s="1" t="n">
        <v>46312</v>
      </c>
      <c r="F47" t="inlineStr">
        <is>
          <t>ÖREBRO LÄN</t>
        </is>
      </c>
      <c r="G47" t="inlineStr">
        <is>
          <t>KUMLA</t>
        </is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38768-2022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44816</v>
      </c>
      <c r="E48" s="1" t="n">
        <v>46312</v>
      </c>
      <c r="F48" t="inlineStr">
        <is>
          <t>ÖREBRO LÄN</t>
        </is>
      </c>
      <c r="G48" t="inlineStr">
        <is>
          <t>KUMLA</t>
        </is>
      </c>
      <c r="I48" t="n">
        <v>3.3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3920-2024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45322</v>
      </c>
      <c r="E49" s="1" t="n">
        <v>46312</v>
      </c>
      <c r="F49" t="inlineStr">
        <is>
          <t>ÖREBRO LÄN</t>
        </is>
      </c>
      <c r="G49" t="inlineStr">
        <is>
          <t>KUMLA</t>
        </is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36237-2024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45534</v>
      </c>
      <c r="E50" s="1" t="n">
        <v>46312</v>
      </c>
      <c r="F50" t="inlineStr">
        <is>
          <t>ÖREBRO LÄN</t>
        </is>
      </c>
      <c r="G50" t="inlineStr">
        <is>
          <t>KUMLA</t>
        </is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51239-2023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45219</v>
      </c>
      <c r="E51" s="1" t="n">
        <v>46312</v>
      </c>
      <c r="F51" t="inlineStr">
        <is>
          <t>ÖREBRO LÄN</t>
        </is>
      </c>
      <c r="G51" t="inlineStr">
        <is>
          <t>KUMLA</t>
        </is>
      </c>
      <c r="I51" t="n">
        <v>0.9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29930-2026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46205</v>
      </c>
      <c r="E52" s="1" t="n">
        <v>46312</v>
      </c>
      <c r="F52" t="inlineStr">
        <is>
          <t>ÖREBRO LÄN</t>
        </is>
      </c>
      <c r="G52" t="inlineStr">
        <is>
          <t>KUMLA</t>
        </is>
      </c>
      <c r="I52" t="n">
        <v>3.5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30478-2026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46210</v>
      </c>
      <c r="E53" s="1" t="n">
        <v>46312</v>
      </c>
      <c r="F53" t="inlineStr">
        <is>
          <t>ÖREBRO LÄN</t>
        </is>
      </c>
      <c r="G53" t="inlineStr">
        <is>
          <t>KUMLA</t>
        </is>
      </c>
      <c r="I53" t="n">
        <v>1.4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30475-2026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46210</v>
      </c>
      <c r="E54" s="1" t="n">
        <v>46312</v>
      </c>
      <c r="F54" t="inlineStr">
        <is>
          <t>ÖREBRO LÄN</t>
        </is>
      </c>
      <c r="G54" t="inlineStr">
        <is>
          <t>KUMLA</t>
        </is>
      </c>
      <c r="I54" t="n">
        <v>3.3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30477-2026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46210</v>
      </c>
      <c r="E55" s="1" t="n">
        <v>46312</v>
      </c>
      <c r="F55" t="inlineStr">
        <is>
          <t>ÖREBRO LÄN</t>
        </is>
      </c>
      <c r="G55" t="inlineStr">
        <is>
          <t>KUMLA</t>
        </is>
      </c>
      <c r="I55" t="n">
        <v>3.9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31294-2026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46218</v>
      </c>
      <c r="E56" s="1" t="n">
        <v>46312</v>
      </c>
      <c r="F56" t="inlineStr">
        <is>
          <t>ÖREBRO LÄN</t>
        </is>
      </c>
      <c r="G56" t="inlineStr">
        <is>
          <t>KUMLA</t>
        </is>
      </c>
      <c r="I56" t="n">
        <v>3.4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31546-2026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46223</v>
      </c>
      <c r="E57" s="1" t="n">
        <v>46312</v>
      </c>
      <c r="F57" t="inlineStr">
        <is>
          <t>ÖREBRO LÄN</t>
        </is>
      </c>
      <c r="G57" t="inlineStr">
        <is>
          <t>KUMLA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31545-2026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46223</v>
      </c>
      <c r="E58" s="1" t="n">
        <v>46312</v>
      </c>
      <c r="F58" t="inlineStr">
        <is>
          <t>ÖREBRO LÄN</t>
        </is>
      </c>
      <c r="G58" t="inlineStr">
        <is>
          <t>KUMLA</t>
        </is>
      </c>
      <c r="I58" t="n">
        <v>6.1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5781-2022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44596</v>
      </c>
      <c r="E59" s="1" t="n">
        <v>46312</v>
      </c>
      <c r="F59" t="inlineStr">
        <is>
          <t>ÖREBRO LÄN</t>
        </is>
      </c>
      <c r="G59" t="inlineStr">
        <is>
          <t>KUMLA</t>
        </is>
      </c>
      <c r="I59" t="n">
        <v>4.8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55340-2024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45621</v>
      </c>
      <c r="E60" s="1" t="n">
        <v>46312</v>
      </c>
      <c r="F60" t="inlineStr">
        <is>
          <t>ÖREBRO LÄN</t>
        </is>
      </c>
      <c r="G60" t="inlineStr">
        <is>
          <t>KUMLA</t>
        </is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15356-2023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45019</v>
      </c>
      <c r="E61" s="1" t="n">
        <v>46312</v>
      </c>
      <c r="F61" t="inlineStr">
        <is>
          <t>ÖREBRO LÄN</t>
        </is>
      </c>
      <c r="G61" t="inlineStr">
        <is>
          <t>KUMLA</t>
        </is>
      </c>
      <c r="I61" t="n">
        <v>1.3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32859-2022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44784</v>
      </c>
      <c r="E62" s="1" t="n">
        <v>46312</v>
      </c>
      <c r="F62" t="inlineStr">
        <is>
          <t>ÖREBRO LÄN</t>
        </is>
      </c>
      <c r="G62" t="inlineStr">
        <is>
          <t>KUMLA</t>
        </is>
      </c>
      <c r="I62" t="n">
        <v>2.5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40275-2024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45554</v>
      </c>
      <c r="E63" s="1" t="n">
        <v>46312</v>
      </c>
      <c r="F63" t="inlineStr">
        <is>
          <t>ÖREBRO LÄN</t>
        </is>
      </c>
      <c r="G63" t="inlineStr">
        <is>
          <t>KUMLA</t>
        </is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38343-2024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45545</v>
      </c>
      <c r="E64" s="1" t="n">
        <v>46312</v>
      </c>
      <c r="F64" t="inlineStr">
        <is>
          <t>ÖREBRO LÄN</t>
        </is>
      </c>
      <c r="G64" t="inlineStr">
        <is>
          <t>KUMLA</t>
        </is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1478-2023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44937</v>
      </c>
      <c r="E65" s="1" t="n">
        <v>46312</v>
      </c>
      <c r="F65" t="inlineStr">
        <is>
          <t>ÖREBRO LÄN</t>
        </is>
      </c>
      <c r="G65" t="inlineStr">
        <is>
          <t>KUMLA</t>
        </is>
      </c>
      <c r="I65" t="n">
        <v>1.9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65076-2023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45287</v>
      </c>
      <c r="E66" s="1" t="n">
        <v>46312</v>
      </c>
      <c r="F66" t="inlineStr">
        <is>
          <t>ÖREBRO LÄN</t>
        </is>
      </c>
      <c r="G66" t="inlineStr">
        <is>
          <t>KUMLA</t>
        </is>
      </c>
      <c r="H66" t="inlineStr">
        <is>
          <t>Kommuner</t>
        </is>
      </c>
      <c r="I66" t="n">
        <v>1.7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34011-2026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46252</v>
      </c>
      <c r="E67" s="1" t="n">
        <v>46312</v>
      </c>
      <c r="F67" t="inlineStr">
        <is>
          <t>ÖREBRO LÄN</t>
        </is>
      </c>
      <c r="G67" t="inlineStr">
        <is>
          <t>KUMLA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54080-2023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45225</v>
      </c>
      <c r="E68" s="1" t="n">
        <v>46312</v>
      </c>
      <c r="F68" t="inlineStr">
        <is>
          <t>ÖREBRO LÄN</t>
        </is>
      </c>
      <c r="G68" t="inlineStr">
        <is>
          <t>KUMLA</t>
        </is>
      </c>
      <c r="I68" t="n">
        <v>2.1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38335-2024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45545</v>
      </c>
      <c r="E69" s="1" t="n">
        <v>46312</v>
      </c>
      <c r="F69" t="inlineStr">
        <is>
          <t>ÖREBRO LÄN</t>
        </is>
      </c>
      <c r="G69" t="inlineStr">
        <is>
          <t>KUMLA</t>
        </is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38871-2024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45547</v>
      </c>
      <c r="E70" s="1" t="n">
        <v>46312</v>
      </c>
      <c r="F70" t="inlineStr">
        <is>
          <t>ÖREBRO LÄN</t>
        </is>
      </c>
      <c r="G70" t="inlineStr">
        <is>
          <t>KUMLA</t>
        </is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58657-2024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45632</v>
      </c>
      <c r="E71" s="1" t="n">
        <v>46312</v>
      </c>
      <c r="F71" t="inlineStr">
        <is>
          <t>ÖREBRO LÄN</t>
        </is>
      </c>
      <c r="G71" t="inlineStr">
        <is>
          <t>KUMLA</t>
        </is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6266-2025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45698</v>
      </c>
      <c r="E72" s="1" t="n">
        <v>46312</v>
      </c>
      <c r="F72" t="inlineStr">
        <is>
          <t>ÖREBRO LÄN</t>
        </is>
      </c>
      <c r="G72" t="inlineStr">
        <is>
          <t>KUMLA</t>
        </is>
      </c>
      <c r="I72" t="n">
        <v>0.8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23225-2025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45791</v>
      </c>
      <c r="E73" s="1" t="n">
        <v>46312</v>
      </c>
      <c r="F73" t="inlineStr">
        <is>
          <t>ÖREBRO LÄN</t>
        </is>
      </c>
      <c r="G73" t="inlineStr">
        <is>
          <t>KUMLA</t>
        </is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30465-2025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45827</v>
      </c>
      <c r="E74" s="1" t="n">
        <v>46312</v>
      </c>
      <c r="F74" t="inlineStr">
        <is>
          <t>ÖREBRO LÄN</t>
        </is>
      </c>
      <c r="G74" t="inlineStr">
        <is>
          <t>KUMLA</t>
        </is>
      </c>
      <c r="I74" t="n">
        <v>18.7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30466-2025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45827</v>
      </c>
      <c r="E75" s="1" t="n">
        <v>46312</v>
      </c>
      <c r="F75" t="inlineStr">
        <is>
          <t>ÖREBRO LÄN</t>
        </is>
      </c>
      <c r="G75" t="inlineStr">
        <is>
          <t>KUMLA</t>
        </is>
      </c>
      <c r="I75" t="n">
        <v>5.8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>
      <c r="A76" t="inlineStr">
        <is>
          <t>A 54080-2024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45616</v>
      </c>
      <c r="E76" s="1" t="n">
        <v>46312</v>
      </c>
      <c r="F76" t="inlineStr">
        <is>
          <t>ÖREBRO LÄN</t>
        </is>
      </c>
      <c r="G76" t="inlineStr">
        <is>
          <t>KUMLA</t>
        </is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2026-10-17T02:03:42Z</dcterms:created>
  <dcterms:modified xmlns:dcterms="http://purl.org/dc/terms/" xmlns:xsi="http://www.w3.org/2001/XMLSchema-instance" xsi:type="dcterms:W3CDTF">2026-10-17T02:03:42Z</dcterms:modified>
</cp:coreProperties>
</file>